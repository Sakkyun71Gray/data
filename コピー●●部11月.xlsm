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689cd0e2e135e87/デスクトップ/"/>
    </mc:Choice>
  </mc:AlternateContent>
  <xr:revisionPtr revIDLastSave="0" documentId="8_{AB690685-4D4A-4810-B17F-A428526C8075}" xr6:coauthVersionLast="47" xr6:coauthVersionMax="47" xr10:uidLastSave="{00000000-0000-0000-0000-000000000000}"/>
  <bookViews>
    <workbookView xWindow="820" yWindow="-110" windowWidth="18490" windowHeight="11020" activeTab="2" xr2:uid="{36ADABB3-3867-4827-89B1-6EBD949CD036}"/>
  </bookViews>
  <sheets>
    <sheet name="使い方" sheetId="6" r:id="rId1"/>
    <sheet name="提出方法" sheetId="9" r:id="rId2"/>
    <sheet name="月間スケジュール" sheetId="1" r:id="rId3"/>
    <sheet name="月間スケジュールCSV" sheetId="3" r:id="rId4"/>
    <sheet name="施設情報" sheetId="4" r:id="rId5"/>
  </sheets>
  <definedNames>
    <definedName name="BKC">施設情報!$N$103:$N$133</definedName>
    <definedName name="OIC">施設情報!$N$134:$N$138</definedName>
    <definedName name="_xlnm.Print_Area" localSheetId="2">月間スケジュール!$B$1:$M$49</definedName>
    <definedName name="_xlnm.Print_Area" localSheetId="0">使い方!$A$1:$Q$99</definedName>
    <definedName name="_xlnm.Print_Area" localSheetId="1">提出方法!$A$1:$Q$52</definedName>
    <definedName name="衣笠">施設情報!$N$139:$N$162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0" i="1" l="1"/>
  <c r="D10" i="1" l="1"/>
  <c r="C11" i="1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D11" i="1" l="1"/>
  <c r="C12" i="1"/>
  <c r="P77" i="1"/>
  <c r="D12" i="1" l="1"/>
  <c r="C13" i="1"/>
  <c r="D13" i="1" l="1"/>
  <c r="C14" i="1"/>
  <c r="D14" i="1" l="1"/>
  <c r="C15" i="1"/>
  <c r="D15" i="1" l="1"/>
  <c r="C16" i="1"/>
  <c r="D16" i="1" l="1"/>
  <c r="C17" i="1"/>
  <c r="D17" i="1" l="1"/>
  <c r="C18" i="1"/>
  <c r="D18" i="1" l="1"/>
  <c r="C19" i="1"/>
  <c r="D19" i="1" l="1"/>
  <c r="C20" i="1"/>
  <c r="D20" i="1" l="1"/>
  <c r="C21" i="1"/>
  <c r="D21" i="1" l="1"/>
  <c r="C22" i="1"/>
  <c r="D22" i="1" l="1"/>
  <c r="C23" i="1"/>
  <c r="D23" i="1" l="1"/>
  <c r="C24" i="1"/>
  <c r="D24" i="1" l="1"/>
  <c r="C25" i="1"/>
  <c r="D25" i="1" l="1"/>
  <c r="C26" i="1"/>
  <c r="D26" i="1" l="1"/>
  <c r="C27" i="1"/>
  <c r="D27" i="1" l="1"/>
  <c r="C28" i="1"/>
  <c r="D28" i="1" l="1"/>
  <c r="C29" i="1"/>
  <c r="D29" i="1" l="1"/>
  <c r="C30" i="1"/>
  <c r="D30" i="1" l="1"/>
  <c r="C31" i="1"/>
  <c r="D31" i="1" l="1"/>
  <c r="C32" i="1"/>
  <c r="D32" i="1" l="1"/>
  <c r="C33" i="1"/>
  <c r="D33" i="1" l="1"/>
  <c r="C34" i="1"/>
  <c r="D34" i="1" l="1"/>
  <c r="C35" i="1"/>
  <c r="D35" i="1" l="1"/>
  <c r="C36" i="1"/>
  <c r="D36" i="1" l="1"/>
  <c r="C37" i="1"/>
  <c r="D37" i="1" l="1"/>
  <c r="C38" i="1"/>
  <c r="D38" i="1" l="1"/>
  <c r="C39" i="1"/>
  <c r="D39" i="1" l="1"/>
  <c r="C40" i="1"/>
  <c r="D40" i="1" s="1"/>
</calcChain>
</file>

<file path=xl/sharedStrings.xml><?xml version="1.0" encoding="utf-8"?>
<sst xmlns="http://schemas.openxmlformats.org/spreadsheetml/2006/main" count="1285" uniqueCount="505">
  <si>
    <t>日</t>
    <rPh sb="0" eb="1">
      <t>ヒ</t>
    </rPh>
    <phoneticPr fontId="1"/>
  </si>
  <si>
    <t>曜日</t>
    <rPh sb="0" eb="2">
      <t>ヨウビ</t>
    </rPh>
    <phoneticPr fontId="1"/>
  </si>
  <si>
    <t>日付</t>
    <rPh sb="0" eb="2">
      <t>ヒヅケ</t>
    </rPh>
    <phoneticPr fontId="1"/>
  </si>
  <si>
    <t>対戦校</t>
    <rPh sb="0" eb="3">
      <t>タイセンコウ</t>
    </rPh>
    <phoneticPr fontId="1"/>
  </si>
  <si>
    <t>会場</t>
    <rPh sb="0" eb="2">
      <t>カイジョウ</t>
    </rPh>
    <phoneticPr fontId="1"/>
  </si>
  <si>
    <t>開始時刻</t>
    <rPh sb="0" eb="4">
      <t>カイシジコク</t>
    </rPh>
    <phoneticPr fontId="1"/>
  </si>
  <si>
    <t>備考</t>
    <rPh sb="0" eb="2">
      <t>ビコウ</t>
    </rPh>
    <phoneticPr fontId="1"/>
  </si>
  <si>
    <t>人数
(最大)</t>
    <rPh sb="0" eb="2">
      <t>ニンズウ</t>
    </rPh>
    <rPh sb="4" eb="6">
      <t>サイダイ</t>
    </rPh>
    <phoneticPr fontId="1"/>
  </si>
  <si>
    <t>利用日</t>
  </si>
  <si>
    <t>施設</t>
    <phoneticPr fontId="1"/>
  </si>
  <si>
    <t>開始時間</t>
    <phoneticPr fontId="4"/>
  </si>
  <si>
    <t>終了時間</t>
    <phoneticPr fontId="4"/>
  </si>
  <si>
    <t>利用種別</t>
  </si>
  <si>
    <t>利用内容</t>
  </si>
  <si>
    <t>利用者</t>
  </si>
  <si>
    <t>申請者CD</t>
    <rPh sb="0" eb="3">
      <t>シンセイシャ</t>
    </rPh>
    <phoneticPr fontId="4"/>
  </si>
  <si>
    <t>授業CD</t>
    <rPh sb="0" eb="2">
      <t>ジュギョウ</t>
    </rPh>
    <phoneticPr fontId="4"/>
  </si>
  <si>
    <t>利用人数(学生)</t>
    <rPh sb="0" eb="2">
      <t>リヨウ</t>
    </rPh>
    <rPh sb="2" eb="4">
      <t>ニンズウ</t>
    </rPh>
    <rPh sb="5" eb="7">
      <t>ガクセイ</t>
    </rPh>
    <phoneticPr fontId="4"/>
  </si>
  <si>
    <t>利用人数(教員)</t>
    <rPh sb="0" eb="2">
      <t>リヨウ</t>
    </rPh>
    <rPh sb="2" eb="4">
      <t>ニンズウ</t>
    </rPh>
    <rPh sb="5" eb="7">
      <t>キョウイン</t>
    </rPh>
    <phoneticPr fontId="4"/>
  </si>
  <si>
    <t>利用人数(職員)</t>
    <rPh sb="0" eb="2">
      <t>リヨウ</t>
    </rPh>
    <rPh sb="2" eb="4">
      <t>ニンズウ</t>
    </rPh>
    <rPh sb="5" eb="7">
      <t>ショクイン</t>
    </rPh>
    <phoneticPr fontId="4"/>
  </si>
  <si>
    <t>利用人数(その他)</t>
    <rPh sb="0" eb="2">
      <t>リヨウ</t>
    </rPh>
    <rPh sb="2" eb="4">
      <t>ニンズウ</t>
    </rPh>
    <rPh sb="7" eb="8">
      <t>タ</t>
    </rPh>
    <phoneticPr fontId="4"/>
  </si>
  <si>
    <t>備考</t>
  </si>
  <si>
    <t>空調利用</t>
    <rPh sb="0" eb="4">
      <t>クウチョウリヨウ</t>
    </rPh>
    <phoneticPr fontId="4"/>
  </si>
  <si>
    <t>プロジェクタ利用</t>
    <rPh sb="6" eb="8">
      <t>リヨウ</t>
    </rPh>
    <phoneticPr fontId="4"/>
  </si>
  <si>
    <t>解錠希望</t>
    <rPh sb="0" eb="4">
      <t>カイジョウキボウ</t>
    </rPh>
    <phoneticPr fontId="4"/>
  </si>
  <si>
    <t>スケジュール</t>
  </si>
  <si>
    <t>キャンパス名</t>
  </si>
  <si>
    <t>建物名</t>
  </si>
  <si>
    <t>フロア名</t>
  </si>
  <si>
    <t>施設CD</t>
  </si>
  <si>
    <t>施設名</t>
  </si>
  <si>
    <t>予約単位</t>
  </si>
  <si>
    <t>クラス定員</t>
  </si>
  <si>
    <t>テスト時定員</t>
  </si>
  <si>
    <t>施設種類</t>
  </si>
  <si>
    <t>施設画像</t>
  </si>
  <si>
    <t>施設備考</t>
  </si>
  <si>
    <t>削除状況</t>
  </si>
  <si>
    <t>(場所選択名称)</t>
    <rPh sb="1" eb="3">
      <t>バショ</t>
    </rPh>
    <rPh sb="3" eb="7">
      <t>センタクメイショウ</t>
    </rPh>
    <phoneticPr fontId="1"/>
  </si>
  <si>
    <t>衣笠</t>
  </si>
  <si>
    <t>2階</t>
  </si>
  <si>
    <t>第１アリーナ　１面</t>
  </si>
  <si>
    <t>時限単位</t>
  </si>
  <si>
    <t>体育施設</t>
  </si>
  <si>
    <t>01S010202</t>
  </si>
  <si>
    <t>第１アリーナ　２面</t>
  </si>
  <si>
    <t>01S010203</t>
  </si>
  <si>
    <t>第１アリーナ　３面</t>
  </si>
  <si>
    <t>01S010204</t>
  </si>
  <si>
    <t>第１アリーナ　４面</t>
  </si>
  <si>
    <t>01S010205</t>
  </si>
  <si>
    <t>第１アリーナ　５面</t>
  </si>
  <si>
    <t>01S010206</t>
  </si>
  <si>
    <t>第１アリーナ　６面</t>
  </si>
  <si>
    <t>01S010207</t>
  </si>
  <si>
    <t>第１アリーナ　７面</t>
  </si>
  <si>
    <t>地下2階</t>
  </si>
  <si>
    <t>01S01F208</t>
  </si>
  <si>
    <t>第２アリーナ　１面</t>
  </si>
  <si>
    <t>01S01F209</t>
  </si>
  <si>
    <t>第２アリーナ　２面</t>
  </si>
  <si>
    <t>01S01F210</t>
  </si>
  <si>
    <t>第２アリーナ　３面</t>
  </si>
  <si>
    <t>01S01F211</t>
  </si>
  <si>
    <t>第２アリーナ　４面</t>
  </si>
  <si>
    <t>01S01F212</t>
  </si>
  <si>
    <t>第２アリーナ　５面</t>
  </si>
  <si>
    <t>01S01F213</t>
  </si>
  <si>
    <t>第２アリーナ　６面</t>
  </si>
  <si>
    <t>1階</t>
  </si>
  <si>
    <t>01S010114</t>
  </si>
  <si>
    <t>第３アリーナ　１面</t>
  </si>
  <si>
    <t>01S010115</t>
  </si>
  <si>
    <t>第３アリーナ　２面</t>
  </si>
  <si>
    <t>01S010116</t>
  </si>
  <si>
    <t>第３アリーナ　３面</t>
  </si>
  <si>
    <t>01S010117</t>
  </si>
  <si>
    <t>第３アリーナ　４面</t>
  </si>
  <si>
    <t>01S010118</t>
  </si>
  <si>
    <t>第３アリーナ　５面</t>
  </si>
  <si>
    <t>BKC</t>
  </si>
  <si>
    <t>第１グラウンド</t>
    <phoneticPr fontId="1"/>
  </si>
  <si>
    <t>屋外</t>
  </si>
  <si>
    <t>02S020011</t>
  </si>
  <si>
    <t>第１面</t>
    <phoneticPr fontId="1"/>
  </si>
  <si>
    <t>第１グラウンド</t>
  </si>
  <si>
    <t>02S020012</t>
  </si>
  <si>
    <t>第２面</t>
    <phoneticPr fontId="1"/>
  </si>
  <si>
    <t>02S020013</t>
  </si>
  <si>
    <t>第３面</t>
    <phoneticPr fontId="1"/>
  </si>
  <si>
    <t>第３グラウンド</t>
    <phoneticPr fontId="1"/>
  </si>
  <si>
    <t>02S030014</t>
  </si>
  <si>
    <t>東面</t>
    <phoneticPr fontId="1"/>
  </si>
  <si>
    <t>第３グラウンド</t>
  </si>
  <si>
    <t>02S030015</t>
  </si>
  <si>
    <t>西面</t>
    <phoneticPr fontId="1"/>
  </si>
  <si>
    <t>BKCジム</t>
    <phoneticPr fontId="1"/>
  </si>
  <si>
    <t>02S010101</t>
  </si>
  <si>
    <t>第１アリーナ １面</t>
  </si>
  <si>
    <t>BKCジム</t>
  </si>
  <si>
    <t>02S010102</t>
  </si>
  <si>
    <t>第１アリーナ ２面</t>
  </si>
  <si>
    <t>02S010103</t>
  </si>
  <si>
    <t>第１アリーナ ３面</t>
  </si>
  <si>
    <t>02S010104</t>
  </si>
  <si>
    <t>第１アリーナ ４面</t>
  </si>
  <si>
    <t>02S010205</t>
  </si>
  <si>
    <t>第２アリーナ １面</t>
  </si>
  <si>
    <t>02S010206</t>
  </si>
  <si>
    <t>第２アリーナ ２面</t>
  </si>
  <si>
    <t>02S010207</t>
  </si>
  <si>
    <t>第２アリーナ ３面</t>
  </si>
  <si>
    <t>02S010208</t>
  </si>
  <si>
    <t>第２アリーナ ４面</t>
  </si>
  <si>
    <t>02S010209</t>
  </si>
  <si>
    <t>第２アリーナ ５面</t>
  </si>
  <si>
    <t>02S010210</t>
  </si>
  <si>
    <t>第２アリーナ ６面</t>
  </si>
  <si>
    <t>テニスコート</t>
    <phoneticPr fontId="1"/>
  </si>
  <si>
    <t>02S040016</t>
  </si>
  <si>
    <t>第１コート</t>
  </si>
  <si>
    <t>テニスコート</t>
  </si>
  <si>
    <t>02S040017</t>
  </si>
  <si>
    <t>第２コート</t>
  </si>
  <si>
    <t>02S040018</t>
  </si>
  <si>
    <t>第３コート</t>
  </si>
  <si>
    <t>02S040019</t>
  </si>
  <si>
    <t>第４コート</t>
  </si>
  <si>
    <t>02S040020</t>
  </si>
  <si>
    <t>第５コート</t>
  </si>
  <si>
    <t>02S040021</t>
  </si>
  <si>
    <t>第６コート</t>
  </si>
  <si>
    <t>02S040022</t>
  </si>
  <si>
    <t>第７コート</t>
  </si>
  <si>
    <t>02S040023</t>
    <phoneticPr fontId="1"/>
  </si>
  <si>
    <t>第８コート</t>
  </si>
  <si>
    <t>OIC</t>
  </si>
  <si>
    <t>Ｄ棟</t>
    <phoneticPr fontId="1"/>
  </si>
  <si>
    <t>14S010201</t>
  </si>
  <si>
    <t>OICアリーナ１</t>
  </si>
  <si>
    <t>Ｄ棟</t>
  </si>
  <si>
    <t>14S010202</t>
  </si>
  <si>
    <t>OICアリーナ２</t>
  </si>
  <si>
    <t>14S010203</t>
  </si>
  <si>
    <t>OICアリーナ３</t>
  </si>
  <si>
    <t>14S010204</t>
  </si>
  <si>
    <t>OICアリーナ４</t>
  </si>
  <si>
    <t>第１グラウンド第１面</t>
  </si>
  <si>
    <t>BKCジム第１アリーナ １面</t>
  </si>
  <si>
    <t>BKCジム第２アリーナ ２面</t>
  </si>
  <si>
    <t>BKCジム第２アリーナ ３面</t>
  </si>
  <si>
    <t>BKCジム第２アリーナ ４面</t>
  </si>
  <si>
    <t>BKCジム第２アリーナ ５面</t>
  </si>
  <si>
    <t>BKCジム第２アリーナ ６面</t>
  </si>
  <si>
    <t>「場所選択名称」の重複解消(プルダウン用)</t>
    <rPh sb="1" eb="3">
      <t>バショ</t>
    </rPh>
    <rPh sb="3" eb="7">
      <t>センタクメイショウ</t>
    </rPh>
    <rPh sb="9" eb="11">
      <t>チョウフク</t>
    </rPh>
    <rPh sb="11" eb="13">
      <t>カイショウ</t>
    </rPh>
    <rPh sb="19" eb="20">
      <t>ヨウ</t>
    </rPh>
    <phoneticPr fontId="1"/>
  </si>
  <si>
    <t>記 入 者：</t>
    <rPh sb="0" eb="1">
      <t>キ</t>
    </rPh>
    <rPh sb="2" eb="3">
      <t>イ</t>
    </rPh>
    <rPh sb="4" eb="5">
      <t>モノ</t>
    </rPh>
    <phoneticPr fontId="1"/>
  </si>
  <si>
    <t>s001</t>
    <phoneticPr fontId="1"/>
  </si>
  <si>
    <t>合気道部</t>
    <rPh sb="0" eb="3">
      <t>アイキドウ</t>
    </rPh>
    <rPh sb="3" eb="4">
      <t>ブ</t>
    </rPh>
    <phoneticPr fontId="1"/>
  </si>
  <si>
    <t>s002</t>
  </si>
  <si>
    <t>アイスホッケー部</t>
    <rPh sb="7" eb="8">
      <t>ブ</t>
    </rPh>
    <phoneticPr fontId="1"/>
  </si>
  <si>
    <t>s003</t>
  </si>
  <si>
    <t>アメリカンフットボール部</t>
    <rPh sb="11" eb="12">
      <t>ブ</t>
    </rPh>
    <phoneticPr fontId="4"/>
  </si>
  <si>
    <t>s004</t>
  </si>
  <si>
    <t>アーチェリー部</t>
    <rPh sb="6" eb="7">
      <t>ブ</t>
    </rPh>
    <phoneticPr fontId="1"/>
  </si>
  <si>
    <t>s005</t>
  </si>
  <si>
    <t>カヌー部</t>
    <rPh sb="3" eb="4">
      <t>ブ</t>
    </rPh>
    <phoneticPr fontId="1"/>
  </si>
  <si>
    <t>s006</t>
  </si>
  <si>
    <t>空手道部（新生）</t>
    <rPh sb="0" eb="2">
      <t>カラテ</t>
    </rPh>
    <rPh sb="2" eb="3">
      <t>ドウ</t>
    </rPh>
    <rPh sb="3" eb="4">
      <t>ブ</t>
    </rPh>
    <rPh sb="5" eb="7">
      <t>シンセイ</t>
    </rPh>
    <phoneticPr fontId="1"/>
  </si>
  <si>
    <t>s007</t>
  </si>
  <si>
    <t>弓道部</t>
    <rPh sb="0" eb="2">
      <t>キュウドウ</t>
    </rPh>
    <rPh sb="2" eb="3">
      <t>ブ</t>
    </rPh>
    <phoneticPr fontId="1"/>
  </si>
  <si>
    <t>s008</t>
  </si>
  <si>
    <t>剣道部</t>
    <rPh sb="0" eb="2">
      <t>ケンドウ</t>
    </rPh>
    <rPh sb="2" eb="3">
      <t>ブ</t>
    </rPh>
    <phoneticPr fontId="1"/>
  </si>
  <si>
    <t>s009</t>
  </si>
  <si>
    <t>航空部</t>
    <rPh sb="0" eb="2">
      <t>コウクウ</t>
    </rPh>
    <rPh sb="2" eb="3">
      <t>ブ</t>
    </rPh>
    <phoneticPr fontId="1"/>
  </si>
  <si>
    <t>s010</t>
  </si>
  <si>
    <t>硬式庭球部</t>
    <rPh sb="0" eb="2">
      <t>コウシキ</t>
    </rPh>
    <rPh sb="2" eb="5">
      <t>テイキュウブ</t>
    </rPh>
    <phoneticPr fontId="1"/>
  </si>
  <si>
    <t>s011</t>
  </si>
  <si>
    <t>硬式野球部</t>
    <rPh sb="0" eb="2">
      <t>コウシキ</t>
    </rPh>
    <rPh sb="2" eb="4">
      <t>ヤキュウ</t>
    </rPh>
    <rPh sb="4" eb="5">
      <t>ブ</t>
    </rPh>
    <phoneticPr fontId="1"/>
  </si>
  <si>
    <t>s012</t>
  </si>
  <si>
    <t>古武道部</t>
    <rPh sb="0" eb="1">
      <t>コ</t>
    </rPh>
    <rPh sb="1" eb="3">
      <t>ブドウ</t>
    </rPh>
    <rPh sb="3" eb="4">
      <t>ブ</t>
    </rPh>
    <phoneticPr fontId="1"/>
  </si>
  <si>
    <t>s013</t>
  </si>
  <si>
    <t>ゴルフ部</t>
    <rPh sb="3" eb="4">
      <t>ブ</t>
    </rPh>
    <phoneticPr fontId="10"/>
  </si>
  <si>
    <t>s014-1</t>
    <phoneticPr fontId="1"/>
  </si>
  <si>
    <t>サッカー部（男子）</t>
    <rPh sb="4" eb="5">
      <t>ブ</t>
    </rPh>
    <rPh sb="6" eb="8">
      <t>ダンシ</t>
    </rPh>
    <phoneticPr fontId="1"/>
  </si>
  <si>
    <t>s014-2</t>
    <phoneticPr fontId="1"/>
  </si>
  <si>
    <t>サッカー部（女子）</t>
    <rPh sb="4" eb="5">
      <t>ブ</t>
    </rPh>
    <rPh sb="6" eb="8">
      <t>ジョシ</t>
    </rPh>
    <phoneticPr fontId="1"/>
  </si>
  <si>
    <t>s015</t>
    <phoneticPr fontId="1"/>
  </si>
  <si>
    <t>山岳部</t>
    <rPh sb="0" eb="2">
      <t>サンガク</t>
    </rPh>
    <rPh sb="2" eb="3">
      <t>ブ</t>
    </rPh>
    <phoneticPr fontId="1"/>
  </si>
  <si>
    <t>s016-1</t>
    <phoneticPr fontId="1"/>
  </si>
  <si>
    <t>自転車競技部（サイクルサッカー）</t>
    <rPh sb="0" eb="3">
      <t>ジテンシャ</t>
    </rPh>
    <rPh sb="3" eb="5">
      <t>キョウギ</t>
    </rPh>
    <rPh sb="5" eb="6">
      <t>ブ</t>
    </rPh>
    <phoneticPr fontId="1"/>
  </si>
  <si>
    <t>s016-2</t>
    <phoneticPr fontId="1"/>
  </si>
  <si>
    <t>自転車競技部（ロード）</t>
    <rPh sb="0" eb="3">
      <t>ジテンシャ</t>
    </rPh>
    <rPh sb="3" eb="5">
      <t>キョウギ</t>
    </rPh>
    <rPh sb="5" eb="6">
      <t>ブ</t>
    </rPh>
    <phoneticPr fontId="1"/>
  </si>
  <si>
    <t>s017</t>
    <phoneticPr fontId="1"/>
  </si>
  <si>
    <t>自動車部</t>
    <rPh sb="0" eb="3">
      <t>ジドウシャ</t>
    </rPh>
    <rPh sb="3" eb="4">
      <t>ブ</t>
    </rPh>
    <phoneticPr fontId="10"/>
  </si>
  <si>
    <t>s018</t>
  </si>
  <si>
    <t>射撃部</t>
    <rPh sb="0" eb="2">
      <t>シャゲキ</t>
    </rPh>
    <rPh sb="2" eb="3">
      <t>ブ</t>
    </rPh>
    <phoneticPr fontId="4"/>
  </si>
  <si>
    <t>s019</t>
  </si>
  <si>
    <t>柔道部</t>
    <rPh sb="0" eb="2">
      <t>ジュウドウ</t>
    </rPh>
    <rPh sb="2" eb="3">
      <t>ブ</t>
    </rPh>
    <phoneticPr fontId="10"/>
  </si>
  <si>
    <t>s020</t>
  </si>
  <si>
    <t>重量挙部</t>
    <rPh sb="0" eb="2">
      <t>ジュウリョウ</t>
    </rPh>
    <rPh sb="2" eb="3">
      <t>ア</t>
    </rPh>
    <rPh sb="3" eb="4">
      <t>ブ</t>
    </rPh>
    <phoneticPr fontId="1"/>
  </si>
  <si>
    <t>s021</t>
  </si>
  <si>
    <t>準硬式野球部</t>
    <rPh sb="0" eb="1">
      <t>ジュン</t>
    </rPh>
    <rPh sb="1" eb="3">
      <t>コウシキ</t>
    </rPh>
    <rPh sb="3" eb="5">
      <t>ヤキュウ</t>
    </rPh>
    <rPh sb="5" eb="6">
      <t>ブ</t>
    </rPh>
    <phoneticPr fontId="1"/>
  </si>
  <si>
    <t>s022</t>
  </si>
  <si>
    <t>少林寺拳法部</t>
    <rPh sb="0" eb="3">
      <t>ショウリンジ</t>
    </rPh>
    <rPh sb="3" eb="5">
      <t>ケンポウ</t>
    </rPh>
    <rPh sb="5" eb="6">
      <t>ブ</t>
    </rPh>
    <phoneticPr fontId="1"/>
  </si>
  <si>
    <t>s023</t>
  </si>
  <si>
    <t>女子ソフトボール部</t>
    <rPh sb="0" eb="2">
      <t>ジョシ</t>
    </rPh>
    <rPh sb="8" eb="9">
      <t>ブ</t>
    </rPh>
    <phoneticPr fontId="1"/>
  </si>
  <si>
    <t>s024</t>
  </si>
  <si>
    <t>女子バスケットボール部</t>
    <rPh sb="0" eb="2">
      <t>ジョシ</t>
    </rPh>
    <rPh sb="10" eb="11">
      <t>ブ</t>
    </rPh>
    <phoneticPr fontId="1"/>
  </si>
  <si>
    <t>s027</t>
  </si>
  <si>
    <t>スキー部</t>
    <rPh sb="3" eb="4">
      <t>ブ</t>
    </rPh>
    <phoneticPr fontId="1"/>
  </si>
  <si>
    <t>s028-1</t>
    <phoneticPr fontId="1"/>
  </si>
  <si>
    <t>スケート部 フィギア</t>
    <rPh sb="4" eb="5">
      <t>ブ</t>
    </rPh>
    <phoneticPr fontId="1"/>
  </si>
  <si>
    <t>s028-2</t>
    <phoneticPr fontId="1"/>
  </si>
  <si>
    <t>スケート部　スピード</t>
    <rPh sb="4" eb="5">
      <t>ブ</t>
    </rPh>
    <phoneticPr fontId="1"/>
  </si>
  <si>
    <t>s029</t>
    <phoneticPr fontId="1"/>
  </si>
  <si>
    <t>相撲部</t>
    <rPh sb="0" eb="2">
      <t>スモウ</t>
    </rPh>
    <rPh sb="2" eb="3">
      <t>ブ</t>
    </rPh>
    <phoneticPr fontId="10"/>
  </si>
  <si>
    <t>s030</t>
  </si>
  <si>
    <t>ソフトテニス部</t>
    <rPh sb="6" eb="7">
      <t>ブ</t>
    </rPh>
    <phoneticPr fontId="10"/>
  </si>
  <si>
    <t>s031</t>
  </si>
  <si>
    <t>体操部</t>
    <rPh sb="0" eb="3">
      <t>タイソウブ</t>
    </rPh>
    <phoneticPr fontId="10"/>
  </si>
  <si>
    <t>s032</t>
  </si>
  <si>
    <t>卓球部</t>
    <rPh sb="0" eb="2">
      <t>タッキュウ</t>
    </rPh>
    <rPh sb="2" eb="3">
      <t>ブ</t>
    </rPh>
    <phoneticPr fontId="1"/>
  </si>
  <si>
    <t>s033</t>
  </si>
  <si>
    <t>男子ソフトボール部</t>
    <rPh sb="0" eb="2">
      <t>ダンシ</t>
    </rPh>
    <rPh sb="8" eb="9">
      <t>ブ</t>
    </rPh>
    <phoneticPr fontId="1"/>
  </si>
  <si>
    <t>s034</t>
  </si>
  <si>
    <t>男子バスケットボール部</t>
    <rPh sb="0" eb="2">
      <t>ダンシ</t>
    </rPh>
    <rPh sb="10" eb="11">
      <t>ブ</t>
    </rPh>
    <phoneticPr fontId="1"/>
  </si>
  <si>
    <t>s036</t>
  </si>
  <si>
    <t>トライアスロン部</t>
    <rPh sb="7" eb="8">
      <t>ブ</t>
    </rPh>
    <phoneticPr fontId="4"/>
  </si>
  <si>
    <t>s037</t>
  </si>
  <si>
    <t>軟式野球部</t>
    <rPh sb="0" eb="2">
      <t>ナンシキ</t>
    </rPh>
    <rPh sb="2" eb="4">
      <t>ヤキュウ</t>
    </rPh>
    <rPh sb="4" eb="5">
      <t>ブ</t>
    </rPh>
    <phoneticPr fontId="1"/>
  </si>
  <si>
    <t>s038</t>
  </si>
  <si>
    <t>日本拳法部</t>
    <rPh sb="0" eb="2">
      <t>ニホン</t>
    </rPh>
    <rPh sb="2" eb="4">
      <t>ケンポウ</t>
    </rPh>
    <rPh sb="4" eb="5">
      <t>ブ</t>
    </rPh>
    <phoneticPr fontId="1"/>
  </si>
  <si>
    <t>s039</t>
  </si>
  <si>
    <t>馬術部</t>
    <rPh sb="0" eb="1">
      <t>バ</t>
    </rPh>
    <rPh sb="1" eb="2">
      <t>ジュツ</t>
    </rPh>
    <rPh sb="2" eb="3">
      <t>ブ</t>
    </rPh>
    <phoneticPr fontId="4"/>
  </si>
  <si>
    <t>s040</t>
  </si>
  <si>
    <t>バトミントン部</t>
    <rPh sb="6" eb="7">
      <t>ブ</t>
    </rPh>
    <phoneticPr fontId="1"/>
  </si>
  <si>
    <t>s041</t>
  </si>
  <si>
    <t>バレーボール部</t>
    <rPh sb="6" eb="7">
      <t>ブ</t>
    </rPh>
    <phoneticPr fontId="1"/>
  </si>
  <si>
    <t>s043</t>
  </si>
  <si>
    <t>フェンシング部</t>
    <rPh sb="6" eb="7">
      <t>ブ</t>
    </rPh>
    <phoneticPr fontId="1"/>
  </si>
  <si>
    <t>s044</t>
  </si>
  <si>
    <t>ボート部</t>
    <rPh sb="3" eb="4">
      <t>ブ</t>
    </rPh>
    <phoneticPr fontId="4"/>
  </si>
  <si>
    <t>s045</t>
  </si>
  <si>
    <t>ボクシング部</t>
    <rPh sb="5" eb="6">
      <t>ブ</t>
    </rPh>
    <phoneticPr fontId="10"/>
  </si>
  <si>
    <t>s047</t>
  </si>
  <si>
    <t>ヨット部</t>
    <rPh sb="3" eb="4">
      <t>ブ</t>
    </rPh>
    <phoneticPr fontId="1"/>
  </si>
  <si>
    <t>s048</t>
  </si>
  <si>
    <t>ラグビー部</t>
    <rPh sb="4" eb="5">
      <t>ブ</t>
    </rPh>
    <phoneticPr fontId="1"/>
  </si>
  <si>
    <t>s049-1</t>
    <phoneticPr fontId="1"/>
  </si>
  <si>
    <t>ラクロス部（男子）</t>
    <rPh sb="4" eb="5">
      <t>ブ</t>
    </rPh>
    <rPh sb="6" eb="8">
      <t>ダンシ</t>
    </rPh>
    <phoneticPr fontId="1"/>
  </si>
  <si>
    <t>s049-2</t>
    <phoneticPr fontId="1"/>
  </si>
  <si>
    <t>ラクロス部（女子）</t>
    <rPh sb="4" eb="5">
      <t>ブ</t>
    </rPh>
    <rPh sb="6" eb="8">
      <t>ジョシ</t>
    </rPh>
    <phoneticPr fontId="1"/>
  </si>
  <si>
    <t>s050</t>
    <phoneticPr fontId="1"/>
  </si>
  <si>
    <t>レスリング部</t>
    <rPh sb="5" eb="6">
      <t>ブ</t>
    </rPh>
    <phoneticPr fontId="1"/>
  </si>
  <si>
    <t>s051</t>
  </si>
  <si>
    <t>居合道同好会</t>
    <rPh sb="0" eb="3">
      <t>イアイドウ</t>
    </rPh>
    <rPh sb="3" eb="6">
      <t>ドウコウカイ</t>
    </rPh>
    <phoneticPr fontId="1"/>
  </si>
  <si>
    <t>s052</t>
  </si>
  <si>
    <t>ワンダーフォーゲル同好会</t>
    <rPh sb="9" eb="12">
      <t>ドウコウカイ</t>
    </rPh>
    <phoneticPr fontId="1"/>
  </si>
  <si>
    <t>s053</t>
  </si>
  <si>
    <t>s054</t>
  </si>
  <si>
    <t>フットサル同好会</t>
    <rPh sb="5" eb="8">
      <t>ドウコウカイ</t>
    </rPh>
    <phoneticPr fontId="1"/>
  </si>
  <si>
    <t>s055</t>
  </si>
  <si>
    <t>ウィンドサーフィン同好会</t>
    <rPh sb="9" eb="12">
      <t>ドウコウカイ</t>
    </rPh>
    <phoneticPr fontId="1"/>
  </si>
  <si>
    <t>s056</t>
  </si>
  <si>
    <t>バトントワリング部</t>
    <rPh sb="8" eb="9">
      <t>ブ</t>
    </rPh>
    <phoneticPr fontId="1"/>
  </si>
  <si>
    <t>クラブ名：</t>
  </si>
  <si>
    <t>連  絡  先：</t>
  </si>
  <si>
    <t>01S010201</t>
    <phoneticPr fontId="1"/>
  </si>
  <si>
    <t>女子陸上競技部（短距離）</t>
    <rPh sb="0" eb="2">
      <t>ジョシ</t>
    </rPh>
    <rPh sb="2" eb="4">
      <t>リクジョウ</t>
    </rPh>
    <rPh sb="4" eb="6">
      <t>キョウギ</t>
    </rPh>
    <rPh sb="6" eb="7">
      <t>ブ</t>
    </rPh>
    <rPh sb="8" eb="11">
      <t>タンキョリ</t>
    </rPh>
    <phoneticPr fontId="1"/>
  </si>
  <si>
    <t>女子陸上競技部(長距離)</t>
    <rPh sb="0" eb="2">
      <t>ジョシ</t>
    </rPh>
    <rPh sb="2" eb="4">
      <t>リクジョウ</t>
    </rPh>
    <rPh sb="4" eb="6">
      <t>キョウギ</t>
    </rPh>
    <rPh sb="6" eb="7">
      <t>ブ</t>
    </rPh>
    <rPh sb="8" eb="11">
      <t>チョウキョリ</t>
    </rPh>
    <phoneticPr fontId="1"/>
  </si>
  <si>
    <t>女子陸上競技部(投擲)</t>
    <rPh sb="0" eb="2">
      <t>ジョシ</t>
    </rPh>
    <rPh sb="2" eb="4">
      <t>リクジョウ</t>
    </rPh>
    <rPh sb="4" eb="6">
      <t>キョウギ</t>
    </rPh>
    <rPh sb="6" eb="7">
      <t>ブ</t>
    </rPh>
    <rPh sb="8" eb="10">
      <t>トウテキ</t>
    </rPh>
    <phoneticPr fontId="1"/>
  </si>
  <si>
    <t>第２アリーナ　１面</t>
    <phoneticPr fontId="1"/>
  </si>
  <si>
    <t>01S010114</t>
    <phoneticPr fontId="1"/>
  </si>
  <si>
    <t>第３アリーナ　１面</t>
    <phoneticPr fontId="1"/>
  </si>
  <si>
    <t>OICアリーナ１</t>
    <phoneticPr fontId="1"/>
  </si>
  <si>
    <t>Ｄ棟OICアリーナ１</t>
    <phoneticPr fontId="1"/>
  </si>
  <si>
    <t>OICアリーナ３</t>
    <phoneticPr fontId="1"/>
  </si>
  <si>
    <t>OICアリーナ２</t>
    <phoneticPr fontId="1"/>
  </si>
  <si>
    <t>BKC</t>
    <phoneticPr fontId="1"/>
  </si>
  <si>
    <t>BKC第１グラウンド全面</t>
    <rPh sb="10" eb="12">
      <t>ゼンメン</t>
    </rPh>
    <phoneticPr fontId="1"/>
  </si>
  <si>
    <t>BKC第３グラウンド全面</t>
    <rPh sb="10" eb="12">
      <t>ゼンメン</t>
    </rPh>
    <phoneticPr fontId="1"/>
  </si>
  <si>
    <t>第１アリーナ １面</t>
    <phoneticPr fontId="1"/>
  </si>
  <si>
    <t>第２アリーナ １面</t>
    <phoneticPr fontId="1"/>
  </si>
  <si>
    <t>テニス第２・３・７・８コート</t>
    <rPh sb="3" eb="4">
      <t>ダイ</t>
    </rPh>
    <phoneticPr fontId="1"/>
  </si>
  <si>
    <t>テニス第４・５・６コート</t>
    <rPh sb="3" eb="4">
      <t>ダイ</t>
    </rPh>
    <phoneticPr fontId="1"/>
  </si>
  <si>
    <t>Ｄ棟OICアリーナ１</t>
  </si>
  <si>
    <t>Ｄ棟OICアリーナ４</t>
  </si>
  <si>
    <t>第１グラウンド第２面</t>
  </si>
  <si>
    <t>第１グラウンド第３面</t>
  </si>
  <si>
    <t>第３グラウンド東面</t>
  </si>
  <si>
    <t>第３グラウンド西面</t>
  </si>
  <si>
    <t>BKCジム第１アリーナ ２面</t>
  </si>
  <si>
    <t>BKCジム第１アリーナ ３面</t>
  </si>
  <si>
    <t>BKCジム第１アリーナ ４面</t>
  </si>
  <si>
    <t>BKCジム第２アリーナ １面</t>
  </si>
  <si>
    <t>テニスコート第１コート</t>
  </si>
  <si>
    <t>テニスコート第２コート</t>
  </si>
  <si>
    <t>テニスコート第３コート</t>
  </si>
  <si>
    <t>テニスコート第４コート</t>
  </si>
  <si>
    <t>テニスコート第５コート</t>
  </si>
  <si>
    <t>テニスコート第６コート</t>
  </si>
  <si>
    <t>テニスコート第７コート</t>
  </si>
  <si>
    <t>テニスコート第８コート</t>
  </si>
  <si>
    <t>Ｄ棟OICアリーナ２</t>
  </si>
  <si>
    <t>衣笠1</t>
    <rPh sb="0" eb="2">
      <t>キヌガサ</t>
    </rPh>
    <phoneticPr fontId="1"/>
  </si>
  <si>
    <t>BKC1</t>
    <phoneticPr fontId="1"/>
  </si>
  <si>
    <t>OIC1</t>
    <phoneticPr fontId="1"/>
  </si>
  <si>
    <t>衣笠2</t>
    <rPh sb="0" eb="2">
      <t>キヌガサ</t>
    </rPh>
    <phoneticPr fontId="1"/>
  </si>
  <si>
    <t>BKC2</t>
    <phoneticPr fontId="1"/>
  </si>
  <si>
    <t>OIC2</t>
    <phoneticPr fontId="1"/>
  </si>
  <si>
    <t>月ごとの最終日設定用データ</t>
    <rPh sb="0" eb="1">
      <t>ツキ</t>
    </rPh>
    <rPh sb="4" eb="7">
      <t>サイシュウビ</t>
    </rPh>
    <rPh sb="7" eb="10">
      <t>セッテイヨウ</t>
    </rPh>
    <phoneticPr fontId="1"/>
  </si>
  <si>
    <t>〇〇××</t>
    <phoneticPr fontId="1"/>
  </si>
  <si>
    <t>男子陸上競技部（短距離）</t>
    <rPh sb="0" eb="2">
      <t>ダンシ</t>
    </rPh>
    <rPh sb="2" eb="4">
      <t>リクジョウ</t>
    </rPh>
    <rPh sb="4" eb="6">
      <t>キョウギ</t>
    </rPh>
    <rPh sb="6" eb="7">
      <t>ブ</t>
    </rPh>
    <rPh sb="8" eb="11">
      <t>タンキョリ</t>
    </rPh>
    <phoneticPr fontId="10"/>
  </si>
  <si>
    <t>男子陸上競技部（長距離）</t>
    <rPh sb="0" eb="2">
      <t>ダンシ</t>
    </rPh>
    <rPh sb="2" eb="4">
      <t>リクジョウ</t>
    </rPh>
    <rPh sb="4" eb="6">
      <t>キョウギ</t>
    </rPh>
    <rPh sb="6" eb="7">
      <t>ブ</t>
    </rPh>
    <rPh sb="8" eb="11">
      <t>チョウキョリ</t>
    </rPh>
    <phoneticPr fontId="10"/>
  </si>
  <si>
    <t>ハンドボール部（男子）</t>
    <rPh sb="6" eb="7">
      <t>ブ</t>
    </rPh>
    <rPh sb="8" eb="10">
      <t>ダンシ</t>
    </rPh>
    <phoneticPr fontId="1"/>
  </si>
  <si>
    <t>ハンドボール部（女子）</t>
    <rPh sb="6" eb="7">
      <t>ブ</t>
    </rPh>
    <rPh sb="8" eb="10">
      <t>ジョシ</t>
    </rPh>
    <phoneticPr fontId="1"/>
  </si>
  <si>
    <t>s042-1</t>
    <phoneticPr fontId="1"/>
  </si>
  <si>
    <t>s042-2</t>
    <phoneticPr fontId="1"/>
  </si>
  <si>
    <t>s046-1</t>
    <phoneticPr fontId="1"/>
  </si>
  <si>
    <t>s046-2</t>
    <phoneticPr fontId="1"/>
  </si>
  <si>
    <t>ホッケー部（男子）</t>
    <rPh sb="4" eb="5">
      <t>ブ</t>
    </rPh>
    <rPh sb="6" eb="8">
      <t>ダンシ</t>
    </rPh>
    <phoneticPr fontId="1"/>
  </si>
  <si>
    <t>ホッケー部（女子）</t>
    <rPh sb="4" eb="5">
      <t>ブ</t>
    </rPh>
    <rPh sb="6" eb="8">
      <t>ジョシ</t>
    </rPh>
    <phoneticPr fontId="1"/>
  </si>
  <si>
    <t>サイクリング同好会（RCC)</t>
    <rPh sb="6" eb="9">
      <t>ドウコウカイ</t>
    </rPh>
    <phoneticPr fontId="1"/>
  </si>
  <si>
    <t>s025-1</t>
    <phoneticPr fontId="1"/>
  </si>
  <si>
    <t>s025-2</t>
    <phoneticPr fontId="1"/>
  </si>
  <si>
    <t>s025-3</t>
    <phoneticPr fontId="1"/>
  </si>
  <si>
    <t>s035-1</t>
    <phoneticPr fontId="1"/>
  </si>
  <si>
    <t>s035-2</t>
    <phoneticPr fontId="1"/>
  </si>
  <si>
    <t>体育会利用分施設情報</t>
    <rPh sb="0" eb="3">
      <t>タイイクカイ</t>
    </rPh>
    <rPh sb="3" eb="5">
      <t>リヨウ</t>
    </rPh>
    <rPh sb="5" eb="6">
      <t>ブン</t>
    </rPh>
    <rPh sb="6" eb="8">
      <t>シセツ</t>
    </rPh>
    <rPh sb="8" eb="10">
      <t>ジョウホウ</t>
    </rPh>
    <phoneticPr fontId="1"/>
  </si>
  <si>
    <t>一般施設予約用施設情報</t>
    <rPh sb="0" eb="2">
      <t>イッパン</t>
    </rPh>
    <rPh sb="2" eb="4">
      <t>シセツ</t>
    </rPh>
    <rPh sb="4" eb="6">
      <t>ヨヤク</t>
    </rPh>
    <rPh sb="6" eb="7">
      <t>ヨウ</t>
    </rPh>
    <rPh sb="7" eb="9">
      <t>シセツ</t>
    </rPh>
    <rPh sb="9" eb="11">
      <t>ジョウホウ</t>
    </rPh>
    <phoneticPr fontId="1"/>
  </si>
  <si>
    <t>月間スケジュール</t>
    <phoneticPr fontId="1"/>
  </si>
  <si>
    <t>番号</t>
    <rPh sb="0" eb="2">
      <t>バンゴウ</t>
    </rPh>
    <phoneticPr fontId="1"/>
  </si>
  <si>
    <t>項目の名前</t>
    <rPh sb="0" eb="2">
      <t>コウモク</t>
    </rPh>
    <rPh sb="3" eb="5">
      <t>ナマエ</t>
    </rPh>
    <phoneticPr fontId="1"/>
  </si>
  <si>
    <t>(1)</t>
    <phoneticPr fontId="1"/>
  </si>
  <si>
    <t>(2)</t>
    <phoneticPr fontId="1"/>
  </si>
  <si>
    <t>練習時間</t>
    <rPh sb="0" eb="4">
      <t>レンシュウジカン</t>
    </rPh>
    <phoneticPr fontId="1"/>
  </si>
  <si>
    <t>説明と入力の仕方</t>
    <rPh sb="0" eb="2">
      <t>セツメイ</t>
    </rPh>
    <rPh sb="3" eb="5">
      <t>ニュウリョク</t>
    </rPh>
    <rPh sb="6" eb="8">
      <t>シカタ</t>
    </rPh>
    <phoneticPr fontId="1"/>
  </si>
  <si>
    <t>(3)</t>
    <phoneticPr fontId="1"/>
  </si>
  <si>
    <t>クラブ名、記入者、連絡先</t>
    <rPh sb="3" eb="4">
      <t>メイ</t>
    </rPh>
    <rPh sb="5" eb="8">
      <t>キニュウシャ</t>
    </rPh>
    <rPh sb="9" eb="12">
      <t>レンラクサキ</t>
    </rPh>
    <phoneticPr fontId="1"/>
  </si>
  <si>
    <t>クラブ名はプルダウンより選び、他は直接入力します</t>
    <rPh sb="3" eb="4">
      <t>メイ</t>
    </rPh>
    <rPh sb="12" eb="13">
      <t>エラ</t>
    </rPh>
    <rPh sb="15" eb="16">
      <t>ホカ</t>
    </rPh>
    <rPh sb="17" eb="19">
      <t>チョクセツ</t>
    </rPh>
    <rPh sb="19" eb="21">
      <t>ニュウリョク</t>
    </rPh>
    <phoneticPr fontId="1"/>
  </si>
  <si>
    <t>(4)</t>
    <phoneticPr fontId="1"/>
  </si>
  <si>
    <t>このシートには利便性向上のために、EXCELマクロを組み込んでいます。以下の通り利用してください。</t>
    <rPh sb="7" eb="9">
      <t>リベン</t>
    </rPh>
    <rPh sb="9" eb="10">
      <t>セイ</t>
    </rPh>
    <rPh sb="10" eb="12">
      <t>コウジョウ</t>
    </rPh>
    <rPh sb="26" eb="27">
      <t>ク</t>
    </rPh>
    <rPh sb="28" eb="29">
      <t>コ</t>
    </rPh>
    <rPh sb="35" eb="37">
      <t>イカ</t>
    </rPh>
    <rPh sb="38" eb="39">
      <t>トオ</t>
    </rPh>
    <rPh sb="40" eb="42">
      <t>リヨウ</t>
    </rPh>
    <phoneticPr fontId="1"/>
  </si>
  <si>
    <t>使い方(行追加/削除のマクロ)</t>
    <rPh sb="0" eb="1">
      <t>ツカ</t>
    </rPh>
    <rPh sb="2" eb="3">
      <t>カタ</t>
    </rPh>
    <rPh sb="4" eb="7">
      <t>ギョウツイカ</t>
    </rPh>
    <rPh sb="8" eb="10">
      <t>サクジョ</t>
    </rPh>
    <phoneticPr fontId="1"/>
  </si>
  <si>
    <t>１．マクロの有効化</t>
    <rPh sb="6" eb="8">
      <t>ユウコウ</t>
    </rPh>
    <rPh sb="8" eb="9">
      <t>カ</t>
    </rPh>
    <phoneticPr fontId="1"/>
  </si>
  <si>
    <t>ファイルを開いたときに、マクロを有効化してください。しない場合、マクロが機能しません。</t>
    <rPh sb="5" eb="6">
      <t>ヒラ</t>
    </rPh>
    <rPh sb="16" eb="19">
      <t>ユウコウカ</t>
    </rPh>
    <rPh sb="29" eb="31">
      <t>バアイ</t>
    </rPh>
    <rPh sb="36" eb="38">
      <t>キノウ</t>
    </rPh>
    <phoneticPr fontId="1"/>
  </si>
  <si>
    <t>２．マクロでできること</t>
    <phoneticPr fontId="1"/>
  </si>
  <si>
    <t>スケジュール入力の時に、行の挿入(値のコピー付き)が簡単にできます。</t>
    <rPh sb="6" eb="8">
      <t>ニュウリョク</t>
    </rPh>
    <rPh sb="9" eb="10">
      <t>トキ</t>
    </rPh>
    <rPh sb="12" eb="13">
      <t>ギョウ</t>
    </rPh>
    <rPh sb="14" eb="16">
      <t>ソウニュウ</t>
    </rPh>
    <rPh sb="17" eb="18">
      <t>アタイ</t>
    </rPh>
    <rPh sb="22" eb="23">
      <t>ツ</t>
    </rPh>
    <rPh sb="26" eb="28">
      <t>カンタン</t>
    </rPh>
    <phoneticPr fontId="1"/>
  </si>
  <si>
    <t>【例】</t>
    <rPh sb="1" eb="2">
      <t>レイ</t>
    </rPh>
    <phoneticPr fontId="1"/>
  </si>
  <si>
    <t>2日の予定を追加したい場合</t>
    <rPh sb="1" eb="2">
      <t>ニチ</t>
    </rPh>
    <rPh sb="3" eb="5">
      <t>ヨテイ</t>
    </rPh>
    <rPh sb="6" eb="8">
      <t>ツイカ</t>
    </rPh>
    <rPh sb="11" eb="13">
      <t>バアイ</t>
    </rPh>
    <phoneticPr fontId="1"/>
  </si>
  <si>
    <t>2日の予定(1つ目)入力後に</t>
    <rPh sb="1" eb="2">
      <t>ニチ</t>
    </rPh>
    <rPh sb="3" eb="5">
      <t>ヨテイ</t>
    </rPh>
    <rPh sb="8" eb="9">
      <t>メ</t>
    </rPh>
    <rPh sb="10" eb="13">
      <t>ニュウリョクゴ</t>
    </rPh>
    <phoneticPr fontId="1"/>
  </si>
  <si>
    <t>(1)</t>
    <phoneticPr fontId="1"/>
  </si>
  <si>
    <t>プルダウンで"1"選択</t>
    <rPh sb="9" eb="11">
      <t>センタク</t>
    </rPh>
    <phoneticPr fontId="1"/>
  </si>
  <si>
    <t>(2)</t>
    <phoneticPr fontId="1"/>
  </si>
  <si>
    <t>"日付行の複写”押す</t>
    <rPh sb="1" eb="4">
      <t>ヒヅケギョウ</t>
    </rPh>
    <rPh sb="5" eb="7">
      <t>フクシャ</t>
    </rPh>
    <rPh sb="8" eb="9">
      <t>オ</t>
    </rPh>
    <phoneticPr fontId="1"/>
  </si>
  <si>
    <t>1つ目の予定と同じ内容</t>
    <rPh sb="2" eb="3">
      <t>メ</t>
    </rPh>
    <rPh sb="4" eb="6">
      <t>ヨテイ</t>
    </rPh>
    <rPh sb="7" eb="8">
      <t>オナ</t>
    </rPh>
    <rPh sb="9" eb="11">
      <t>ナイヨウ</t>
    </rPh>
    <phoneticPr fontId="1"/>
  </si>
  <si>
    <t>で行が挿入されます。</t>
    <rPh sb="1" eb="2">
      <t>ギョウ</t>
    </rPh>
    <rPh sb="3" eb="5">
      <t>ソウニュウ</t>
    </rPh>
    <phoneticPr fontId="1"/>
  </si>
  <si>
    <t>更に追加して、行を挿入</t>
    <rPh sb="0" eb="1">
      <t>サラ</t>
    </rPh>
    <rPh sb="2" eb="4">
      <t>ツイカ</t>
    </rPh>
    <rPh sb="7" eb="8">
      <t>ギョウ</t>
    </rPh>
    <rPh sb="9" eb="11">
      <t>ソウニュウ</t>
    </rPh>
    <phoneticPr fontId="1"/>
  </si>
  <si>
    <t>することもできます。</t>
    <phoneticPr fontId="1"/>
  </si>
  <si>
    <t>挿入後、追加する予定へ</t>
    <rPh sb="0" eb="3">
      <t>ソウニュウゴ</t>
    </rPh>
    <rPh sb="4" eb="6">
      <t>ツイカ</t>
    </rPh>
    <rPh sb="8" eb="10">
      <t>ヨテイ</t>
    </rPh>
    <phoneticPr fontId="1"/>
  </si>
  <si>
    <t>書き変えてください。</t>
    <rPh sb="0" eb="1">
      <t>カ</t>
    </rPh>
    <rPh sb="2" eb="3">
      <t>カ</t>
    </rPh>
    <phoneticPr fontId="1"/>
  </si>
  <si>
    <t>行の削除もマクロでできます。</t>
    <rPh sb="0" eb="1">
      <t>ギョウ</t>
    </rPh>
    <rPh sb="2" eb="4">
      <t>サクジョ</t>
    </rPh>
    <phoneticPr fontId="1"/>
  </si>
  <si>
    <t>2日の2行目を削除したい場合</t>
    <rPh sb="1" eb="2">
      <t>ニチ</t>
    </rPh>
    <rPh sb="4" eb="6">
      <t>ギョウメ</t>
    </rPh>
    <rPh sb="7" eb="9">
      <t>サクジョ</t>
    </rPh>
    <rPh sb="12" eb="14">
      <t>バアイ</t>
    </rPh>
    <phoneticPr fontId="1"/>
  </si>
  <si>
    <t>2日の削除する行に対して</t>
    <rPh sb="1" eb="2">
      <t>ニチ</t>
    </rPh>
    <rPh sb="3" eb="5">
      <t>サクジョ</t>
    </rPh>
    <rPh sb="7" eb="8">
      <t>ギョウ</t>
    </rPh>
    <rPh sb="9" eb="10">
      <t>タイ</t>
    </rPh>
    <phoneticPr fontId="1"/>
  </si>
  <si>
    <t>"日付行の削除”押す</t>
    <rPh sb="1" eb="4">
      <t>ヒヅケギョウ</t>
    </rPh>
    <rPh sb="5" eb="7">
      <t>サクジョ</t>
    </rPh>
    <rPh sb="8" eb="9">
      <t>オ</t>
    </rPh>
    <phoneticPr fontId="1"/>
  </si>
  <si>
    <t>１．お願い</t>
    <rPh sb="3" eb="4">
      <t>ネガ</t>
    </rPh>
    <phoneticPr fontId="1"/>
  </si>
  <si>
    <t>・下記「入力が必要な項目」は、すべて入力しましょう</t>
    <rPh sb="1" eb="3">
      <t>カキ</t>
    </rPh>
    <rPh sb="4" eb="6">
      <t>ニュウリョク</t>
    </rPh>
    <rPh sb="7" eb="9">
      <t>ヒツヨウ</t>
    </rPh>
    <rPh sb="10" eb="12">
      <t>コウモク</t>
    </rPh>
    <rPh sb="18" eb="20">
      <t>ニュウリョク</t>
    </rPh>
    <phoneticPr fontId="1"/>
  </si>
  <si>
    <t>・スケジュール表に記載された「提出先」へ、入力したファイルを添付しメール送信しましょう</t>
    <rPh sb="7" eb="8">
      <t>ヒョウ</t>
    </rPh>
    <rPh sb="9" eb="11">
      <t>キサイ</t>
    </rPh>
    <rPh sb="15" eb="18">
      <t>テイシュツサキ</t>
    </rPh>
    <rPh sb="21" eb="23">
      <t>ニュウリョク</t>
    </rPh>
    <rPh sb="30" eb="32">
      <t>テンプ</t>
    </rPh>
    <rPh sb="36" eb="38">
      <t>ソウシン</t>
    </rPh>
    <phoneticPr fontId="1"/>
  </si>
  <si>
    <t>スムーズなスケジュール登録ができるよう、下記の項目は必ず入力してください</t>
    <rPh sb="11" eb="13">
      <t>トウロク</t>
    </rPh>
    <rPh sb="20" eb="22">
      <t>カキ</t>
    </rPh>
    <rPh sb="23" eb="25">
      <t>コウモク</t>
    </rPh>
    <rPh sb="26" eb="27">
      <t>カナラ</t>
    </rPh>
    <rPh sb="28" eb="30">
      <t>ニュウリョク</t>
    </rPh>
    <phoneticPr fontId="1"/>
  </si>
  <si>
    <t>施設名</t>
    <rPh sb="0" eb="3">
      <t>シセツメイ</t>
    </rPh>
    <phoneticPr fontId="1"/>
  </si>
  <si>
    <t>使用する施設名をプルダウンより選びます</t>
    <rPh sb="0" eb="2">
      <t>シヨウ</t>
    </rPh>
    <rPh sb="4" eb="7">
      <t>シセツメイ</t>
    </rPh>
    <rPh sb="15" eb="16">
      <t>エラ</t>
    </rPh>
    <phoneticPr fontId="1"/>
  </si>
  <si>
    <t>人数(最大)</t>
    <rPh sb="0" eb="2">
      <t>ニンズウ</t>
    </rPh>
    <rPh sb="3" eb="5">
      <t>サイダイ</t>
    </rPh>
    <phoneticPr fontId="1"/>
  </si>
  <si>
    <t>人数を入力します。”人”の入力は不要です</t>
    <rPh sb="0" eb="2">
      <t>ニンズウ</t>
    </rPh>
    <rPh sb="3" eb="5">
      <t>ニュウリョク</t>
    </rPh>
    <rPh sb="10" eb="11">
      <t>ニン</t>
    </rPh>
    <rPh sb="13" eb="15">
      <t>ニュウリョク</t>
    </rPh>
    <rPh sb="16" eb="18">
      <t>フヨウ</t>
    </rPh>
    <phoneticPr fontId="1"/>
  </si>
  <si>
    <t>(5)</t>
    <phoneticPr fontId="1"/>
  </si>
  <si>
    <t>図中の</t>
    <rPh sb="0" eb="1">
      <t>ズ</t>
    </rPh>
    <rPh sb="1" eb="2">
      <t>チュウ</t>
    </rPh>
    <phoneticPr fontId="1"/>
  </si>
  <si>
    <t>３．提出</t>
    <rPh sb="2" eb="4">
      <t>テイシュツ</t>
    </rPh>
    <phoneticPr fontId="1"/>
  </si>
  <si>
    <t>本ファイルを保存の上、メールに添付して上記(6)宛に送信してください</t>
    <rPh sb="0" eb="1">
      <t>ホン</t>
    </rPh>
    <rPh sb="6" eb="8">
      <t>ホゾン</t>
    </rPh>
    <rPh sb="9" eb="10">
      <t>ウエ</t>
    </rPh>
    <rPh sb="15" eb="17">
      <t>テンプ</t>
    </rPh>
    <rPh sb="19" eb="21">
      <t>ジョウキ</t>
    </rPh>
    <rPh sb="24" eb="25">
      <t>アテ</t>
    </rPh>
    <rPh sb="26" eb="28">
      <t>ソウシン</t>
    </rPh>
    <phoneticPr fontId="1"/>
  </si>
  <si>
    <t>２．入力する項目</t>
    <rPh sb="2" eb="4">
      <t>ニュウリョク</t>
    </rPh>
    <rPh sb="6" eb="8">
      <t>コウモク</t>
    </rPh>
    <phoneticPr fontId="1"/>
  </si>
  <si>
    <t>使い方(お願いと入力項目)</t>
    <rPh sb="0" eb="1">
      <t>ツカ</t>
    </rPh>
    <rPh sb="2" eb="3">
      <t>カタ</t>
    </rPh>
    <rPh sb="5" eb="6">
      <t>ネガ</t>
    </rPh>
    <rPh sb="8" eb="10">
      <t>ニュウリョク</t>
    </rPh>
    <rPh sb="10" eb="12">
      <t>コウモク</t>
    </rPh>
    <phoneticPr fontId="1"/>
  </si>
  <si>
    <r>
      <t>・本EXCELファイルの、シートやマクロの内容の変更</t>
    </r>
    <r>
      <rPr>
        <sz val="11"/>
        <rFont val="Meiryo UI"/>
        <family val="3"/>
        <charset val="128"/>
      </rPr>
      <t>（行内改行）</t>
    </r>
    <r>
      <rPr>
        <sz val="11"/>
        <color theme="1"/>
        <rFont val="Meiryo UI"/>
        <family val="3"/>
        <charset val="128"/>
      </rPr>
      <t>や削除はしないでください</t>
    </r>
    <rPh sb="1" eb="2">
      <t>ホン</t>
    </rPh>
    <rPh sb="21" eb="23">
      <t>ナイヨウ</t>
    </rPh>
    <rPh sb="24" eb="26">
      <t>ヘンコウ</t>
    </rPh>
    <rPh sb="27" eb="31">
      <t>ギョウナイカイギョウ</t>
    </rPh>
    <rPh sb="33" eb="35">
      <t>サクジョ</t>
    </rPh>
    <phoneticPr fontId="1"/>
  </si>
  <si>
    <r>
      <t>・別な月のスケジュールを入力する時は、ファイルは使いまわしを</t>
    </r>
    <r>
      <rPr>
        <sz val="11"/>
        <rFont val="Meiryo UI"/>
        <family val="3"/>
        <charset val="128"/>
      </rPr>
      <t>しないでください</t>
    </r>
    <rPh sb="1" eb="2">
      <t>ベツ</t>
    </rPh>
    <rPh sb="3" eb="4">
      <t>ツキ</t>
    </rPh>
    <rPh sb="12" eb="14">
      <t>ニュウリョク</t>
    </rPh>
    <rPh sb="16" eb="17">
      <t>トキ</t>
    </rPh>
    <rPh sb="24" eb="25">
      <t>ツカ</t>
    </rPh>
    <phoneticPr fontId="1"/>
  </si>
  <si>
    <r>
      <t>※同じ日に</t>
    </r>
    <r>
      <rPr>
        <sz val="11"/>
        <rFont val="Meiryo UI"/>
        <family val="3"/>
        <charset val="128"/>
      </rPr>
      <t>複数利用予定を入</t>
    </r>
    <r>
      <rPr>
        <sz val="11"/>
        <color theme="1"/>
        <rFont val="Meiryo UI"/>
        <family val="3"/>
        <charset val="128"/>
      </rPr>
      <t>力する時は、「使い方(行追加/削除のマクロ)」を参照ください</t>
    </r>
    <rPh sb="1" eb="2">
      <t>オナ</t>
    </rPh>
    <rPh sb="3" eb="4">
      <t>ヒ</t>
    </rPh>
    <rPh sb="5" eb="7">
      <t>フクスウ</t>
    </rPh>
    <rPh sb="7" eb="9">
      <t>リヨウ</t>
    </rPh>
    <rPh sb="9" eb="11">
      <t>ヨテイ</t>
    </rPh>
    <rPh sb="12" eb="14">
      <t>ニュウリョク</t>
    </rPh>
    <rPh sb="16" eb="17">
      <t>トキ</t>
    </rPh>
    <rPh sb="37" eb="39">
      <t>サンショウ</t>
    </rPh>
    <phoneticPr fontId="1"/>
  </si>
  <si>
    <t>拠点共有のあるクラブ</t>
    <rPh sb="0" eb="2">
      <t>キョテン</t>
    </rPh>
    <rPh sb="2" eb="4">
      <t>キョウユウ</t>
    </rPh>
    <phoneticPr fontId="1"/>
  </si>
  <si>
    <t>早朝利用</t>
    <rPh sb="0" eb="2">
      <t>ソウチョウ</t>
    </rPh>
    <rPh sb="2" eb="4">
      <t>リヨウ</t>
    </rPh>
    <phoneticPr fontId="1"/>
  </si>
  <si>
    <t>1時限</t>
    <phoneticPr fontId="1"/>
  </si>
  <si>
    <t>2時限</t>
    <phoneticPr fontId="1"/>
  </si>
  <si>
    <t>3時限</t>
    <phoneticPr fontId="1"/>
  </si>
  <si>
    <t>4時限</t>
    <phoneticPr fontId="1"/>
  </si>
  <si>
    <t>5時限</t>
    <phoneticPr fontId="1"/>
  </si>
  <si>
    <t>6時限</t>
    <phoneticPr fontId="1"/>
  </si>
  <si>
    <t>7時限</t>
    <phoneticPr fontId="1"/>
  </si>
  <si>
    <t>提出のきまり</t>
    <rPh sb="0" eb="2">
      <t>テイシュツ</t>
    </rPh>
    <phoneticPr fontId="1"/>
  </si>
  <si>
    <t>１．提出方法</t>
    <rPh sb="2" eb="6">
      <t>テイシュツホウホウ</t>
    </rPh>
    <phoneticPr fontId="1"/>
  </si>
  <si>
    <t>【提出期限】　活動月の前月15日</t>
    <rPh sb="1" eb="5">
      <t>テイシュツキゲン</t>
    </rPh>
    <rPh sb="7" eb="10">
      <t>カツドウヅキ</t>
    </rPh>
    <rPh sb="11" eb="13">
      <t>ゼンゲツ</t>
    </rPh>
    <rPh sb="15" eb="16">
      <t>ニチ</t>
    </rPh>
    <phoneticPr fontId="1"/>
  </si>
  <si>
    <t>【提出先】　　 bkcsport@st.ritsumei.ac.jp</t>
    <rPh sb="1" eb="4">
      <t>テイシュツサキ</t>
    </rPh>
    <phoneticPr fontId="1"/>
  </si>
  <si>
    <t>３．スケジュールの確定</t>
    <rPh sb="9" eb="11">
      <t>カクテイ</t>
    </rPh>
    <phoneticPr fontId="1"/>
  </si>
  <si>
    <t>拠点共有施設</t>
    <rPh sb="0" eb="4">
      <t>キョテンキョウユウ</t>
    </rPh>
    <rPh sb="4" eb="6">
      <t>シセツ</t>
    </rPh>
    <phoneticPr fontId="1"/>
  </si>
  <si>
    <t>スケジュールの提出により、施設の利用が可能になります。ただし、以下のBKC施設を利用するクラブは</t>
    <rPh sb="7" eb="9">
      <t>テイシュツ</t>
    </rPh>
    <rPh sb="13" eb="15">
      <t>シセツ</t>
    </rPh>
    <rPh sb="16" eb="18">
      <t>リヨウ</t>
    </rPh>
    <rPh sb="19" eb="21">
      <t>カノウ</t>
    </rPh>
    <rPh sb="31" eb="33">
      <t>イカ</t>
    </rPh>
    <rPh sb="37" eb="39">
      <t>シセツ</t>
    </rPh>
    <rPh sb="40" eb="42">
      <t>リヨウ</t>
    </rPh>
    <phoneticPr fontId="1"/>
  </si>
  <si>
    <t>第1グラウンド</t>
    <rPh sb="0" eb="1">
      <t>ダイ</t>
    </rPh>
    <phoneticPr fontId="1"/>
  </si>
  <si>
    <t>第3グラウンド</t>
    <rPh sb="0" eb="1">
      <t>ダイ</t>
    </rPh>
    <phoneticPr fontId="1"/>
  </si>
  <si>
    <t>クインススタジアム</t>
    <phoneticPr fontId="1"/>
  </si>
  <si>
    <t>ラクロス部（男女）</t>
    <rPh sb="4" eb="5">
      <t>ブ</t>
    </rPh>
    <rPh sb="6" eb="8">
      <t>ダンジョ</t>
    </rPh>
    <phoneticPr fontId="1"/>
  </si>
  <si>
    <t>自転車競技部サイクルサッカー班</t>
    <rPh sb="0" eb="6">
      <t>ジテンシャキョウギブ</t>
    </rPh>
    <rPh sb="14" eb="15">
      <t>ハン</t>
    </rPh>
    <phoneticPr fontId="1"/>
  </si>
  <si>
    <t>合氣道部（BKC分）</t>
    <rPh sb="0" eb="4">
      <t>アイキドウブ</t>
    </rPh>
    <rPh sb="8" eb="9">
      <t>ブン</t>
    </rPh>
    <phoneticPr fontId="1"/>
  </si>
  <si>
    <t>日本拳法部（BKC分）</t>
    <rPh sb="0" eb="5">
      <t>ニホンケンポウブ</t>
    </rPh>
    <rPh sb="9" eb="10">
      <t>ブン</t>
    </rPh>
    <phoneticPr fontId="1"/>
  </si>
  <si>
    <t>空手道部（新生）（BKC分）</t>
    <rPh sb="0" eb="3">
      <t>カラテドウ</t>
    </rPh>
    <rPh sb="3" eb="4">
      <t>ブ</t>
    </rPh>
    <rPh sb="5" eb="7">
      <t>シンセイ</t>
    </rPh>
    <rPh sb="12" eb="13">
      <t>ブン</t>
    </rPh>
    <phoneticPr fontId="1"/>
  </si>
  <si>
    <t>剣道部（BKC分）</t>
    <rPh sb="0" eb="3">
      <t>ケンドウブ</t>
    </rPh>
    <rPh sb="7" eb="8">
      <t>ブン</t>
    </rPh>
    <phoneticPr fontId="1"/>
  </si>
  <si>
    <t>少林寺拳法部（BKC分）</t>
    <rPh sb="0" eb="6">
      <t>ショウリンジケンポウブ</t>
    </rPh>
    <rPh sb="10" eb="11">
      <t>ブン</t>
    </rPh>
    <phoneticPr fontId="1"/>
  </si>
  <si>
    <t>女子陸上競技部（投擲含む）</t>
    <rPh sb="0" eb="7">
      <t>ジョシリクジョウキョウギブ</t>
    </rPh>
    <rPh sb="8" eb="10">
      <t>トウテキ</t>
    </rPh>
    <rPh sb="10" eb="11">
      <t>フク</t>
    </rPh>
    <phoneticPr fontId="1"/>
  </si>
  <si>
    <t>男子陸上競技部（投擲含む）</t>
    <rPh sb="0" eb="7">
      <t>ダンシリクジョウキョウギブ</t>
    </rPh>
    <rPh sb="8" eb="10">
      <t>トウテキ</t>
    </rPh>
    <rPh sb="10" eb="11">
      <t>フク</t>
    </rPh>
    <phoneticPr fontId="1"/>
  </si>
  <si>
    <t>トライアスロン部</t>
    <rPh sb="7" eb="8">
      <t>ブ</t>
    </rPh>
    <phoneticPr fontId="1"/>
  </si>
  <si>
    <t>硬式庭球部</t>
    <rPh sb="0" eb="5">
      <t>コウシキテイキュウブ</t>
    </rPh>
    <phoneticPr fontId="1"/>
  </si>
  <si>
    <t>18：00～19：30</t>
    <phoneticPr fontId="1"/>
  </si>
  <si>
    <t>・作成の仕方は、「使い方」を参照してください。</t>
    <rPh sb="1" eb="3">
      <t>サクセイ</t>
    </rPh>
    <rPh sb="4" eb="6">
      <t>シカタ</t>
    </rPh>
    <rPh sb="9" eb="10">
      <t>ツカ</t>
    </rPh>
    <rPh sb="11" eb="12">
      <t>カタ</t>
    </rPh>
    <rPh sb="14" eb="16">
      <t>サンショウ</t>
    </rPh>
    <phoneticPr fontId="1"/>
  </si>
  <si>
    <t>　　・毎月、クラブごとに翌月の活動予定(月間スケジュール)のファイルを作成します。</t>
    <rPh sb="3" eb="5">
      <t>マイツキ</t>
    </rPh>
    <rPh sb="12" eb="14">
      <t>ヨクゲツ</t>
    </rPh>
    <rPh sb="15" eb="17">
      <t>カツドウ</t>
    </rPh>
    <rPh sb="17" eb="19">
      <t>ヨテイ</t>
    </rPh>
    <rPh sb="20" eb="22">
      <t>ゲッカン</t>
    </rPh>
    <rPh sb="35" eb="37">
      <t>サクセイ</t>
    </rPh>
    <phoneticPr fontId="1"/>
  </si>
  <si>
    <t>　　・ファイルを保存してメールに添付し、下記【提出先】へ送信してください。</t>
    <rPh sb="8" eb="10">
      <t>ホゾン</t>
    </rPh>
    <rPh sb="16" eb="18">
      <t>テンプ</t>
    </rPh>
    <rPh sb="20" eb="22">
      <t>カキ</t>
    </rPh>
    <rPh sb="23" eb="26">
      <t>テイシュツサキ</t>
    </rPh>
    <rPh sb="28" eb="30">
      <t>ソウシン</t>
    </rPh>
    <phoneticPr fontId="1"/>
  </si>
  <si>
    <t>　　〔補足〕</t>
    <rPh sb="3" eb="5">
      <t>ホソク</t>
    </rPh>
    <phoneticPr fontId="1"/>
  </si>
  <si>
    <t>２．スケジュールを変更するとき</t>
    <rPh sb="9" eb="11">
      <t>ヘンコウ</t>
    </rPh>
    <phoneticPr fontId="1"/>
  </si>
  <si>
    <t>　　・提出済みのスケジュールを変更する場合は、ファイル上で赤字にて修正のうえ、</t>
    <rPh sb="3" eb="5">
      <t>テイシュツ</t>
    </rPh>
    <rPh sb="5" eb="6">
      <t>ズ</t>
    </rPh>
    <rPh sb="15" eb="17">
      <t>ヘンコウ</t>
    </rPh>
    <rPh sb="19" eb="21">
      <t>バアイ</t>
    </rPh>
    <rPh sb="27" eb="28">
      <t>ジョウ</t>
    </rPh>
    <rPh sb="29" eb="31">
      <t>アカジ</t>
    </rPh>
    <rPh sb="33" eb="35">
      <t>シュウセイ</t>
    </rPh>
    <phoneticPr fontId="1"/>
  </si>
  <si>
    <t>　　 メールに添付し上記【提出先】へ送信してください。</t>
    <phoneticPr fontId="1"/>
  </si>
  <si>
    <t>台帳の調整が必要なため、月間スケジュールの返却によりスケジュールが確定となります。</t>
    <rPh sb="0" eb="2">
      <t>ダイチョウ</t>
    </rPh>
    <rPh sb="3" eb="5">
      <t>チョウセイ</t>
    </rPh>
    <rPh sb="6" eb="8">
      <t>ヒツヨウ</t>
    </rPh>
    <rPh sb="12" eb="14">
      <t>ゲッカン</t>
    </rPh>
    <rPh sb="21" eb="23">
      <t>ヘンキャク</t>
    </rPh>
    <rPh sb="33" eb="35">
      <t>カクテイ</t>
    </rPh>
    <phoneticPr fontId="1"/>
  </si>
  <si>
    <t>　　</t>
    <phoneticPr fontId="1"/>
  </si>
  <si>
    <r>
      <rPr>
        <b/>
        <sz val="12"/>
        <color rgb="FF000000"/>
        <rFont val="ＭＳ ゴシック"/>
        <family val="3"/>
        <charset val="128"/>
      </rPr>
      <t>※</t>
    </r>
    <r>
      <rPr>
        <b/>
        <sz val="12"/>
        <color rgb="FF000000"/>
        <rFont val="游ゴシック"/>
        <family val="3"/>
        <charset val="128"/>
        <scheme val="minor"/>
      </rPr>
      <t>公式戦等、学内施設を利用する場合は、学連から本学宛に使用願いが必要です</t>
    </r>
    <phoneticPr fontId="1"/>
  </si>
  <si>
    <t>「場所選択名称」の重複解消(ドロップダウン用)</t>
    <phoneticPr fontId="1"/>
  </si>
  <si>
    <t xml:space="preserve"> </t>
    <phoneticPr fontId="1"/>
  </si>
  <si>
    <t xml:space="preserve">  8：00～  9：00</t>
    <phoneticPr fontId="1"/>
  </si>
  <si>
    <t>夜間①</t>
    <rPh sb="0" eb="2">
      <t>ヤカン</t>
    </rPh>
    <phoneticPr fontId="1"/>
  </si>
  <si>
    <t>21：10～21：30</t>
    <phoneticPr fontId="1"/>
  </si>
  <si>
    <t>夜間②</t>
    <rPh sb="0" eb="2">
      <t>ヤカン</t>
    </rPh>
    <phoneticPr fontId="1"/>
  </si>
  <si>
    <t>21：30～22：00</t>
    <phoneticPr fontId="1"/>
  </si>
  <si>
    <t>-</t>
    <phoneticPr fontId="1"/>
  </si>
  <si>
    <t>BKCジム第２アリーナ １・２・３面</t>
    <phoneticPr fontId="1"/>
  </si>
  <si>
    <t>BKCジム第２アリーナ ４・５・６面</t>
    <phoneticPr fontId="1"/>
  </si>
  <si>
    <t>時間編成
(21年度)</t>
    <rPh sb="0" eb="2">
      <t>ジカン</t>
    </rPh>
    <rPh sb="2" eb="4">
      <t>ヘンセイ</t>
    </rPh>
    <rPh sb="8" eb="10">
      <t>ネンド</t>
    </rPh>
    <phoneticPr fontId="1"/>
  </si>
  <si>
    <t>・キャンパス内施設の予約は、授業の時限単位に合わせてください。</t>
    <rPh sb="6" eb="7">
      <t>ナイ</t>
    </rPh>
    <rPh sb="7" eb="9">
      <t>シセツ</t>
    </rPh>
    <rPh sb="10" eb="12">
      <t>ヨヤク</t>
    </rPh>
    <rPh sb="14" eb="16">
      <t>ジュギョウ</t>
    </rPh>
    <rPh sb="17" eb="21">
      <t>ジゲンタンイ</t>
    </rPh>
    <rPh sb="22" eb="23">
      <t>ア</t>
    </rPh>
    <phoneticPr fontId="1"/>
  </si>
  <si>
    <t>手入力対応</t>
    <rPh sb="0" eb="3">
      <t>テニュウリョク</t>
    </rPh>
    <rPh sb="3" eb="5">
      <t>タイオウ</t>
    </rPh>
    <phoneticPr fontId="1"/>
  </si>
  <si>
    <t>　　　・日時等が決まり次第、スケジュールの変更の必要があれば連絡をお願いします。</t>
    <rPh sb="4" eb="6">
      <t>ニチジ</t>
    </rPh>
    <rPh sb="6" eb="7">
      <t>トウ</t>
    </rPh>
    <rPh sb="8" eb="9">
      <t>キ</t>
    </rPh>
    <rPh sb="11" eb="13">
      <t>シダイ</t>
    </rPh>
    <rPh sb="21" eb="23">
      <t>ヘンコウ</t>
    </rPh>
    <rPh sb="24" eb="26">
      <t>ヒツヨウ</t>
    </rPh>
    <rPh sb="30" eb="32">
      <t>レンラク</t>
    </rPh>
    <rPh sb="34" eb="35">
      <t>ネガ</t>
    </rPh>
    <phoneticPr fontId="1"/>
  </si>
  <si>
    <t>※施設利用のない予定（WEBミーティング・学外での活動）も記入してください。</t>
    <rPh sb="1" eb="5">
      <t>シセツリヨウ</t>
    </rPh>
    <rPh sb="8" eb="10">
      <t>ヨテイ</t>
    </rPh>
    <rPh sb="21" eb="23">
      <t>ガクガイ</t>
    </rPh>
    <rPh sb="25" eb="27">
      <t>カツドウ</t>
    </rPh>
    <rPh sb="29" eb="31">
      <t>キニュウ</t>
    </rPh>
    <phoneticPr fontId="1"/>
  </si>
  <si>
    <t>　　　・試合など、日時等が決定していない場合は、予定を入力し（または未定として）提出してください。</t>
    <rPh sb="4" eb="6">
      <t>シアイ</t>
    </rPh>
    <rPh sb="9" eb="11">
      <t>ニチジ</t>
    </rPh>
    <rPh sb="11" eb="12">
      <t>トウ</t>
    </rPh>
    <rPh sb="13" eb="15">
      <t>ケッテイ</t>
    </rPh>
    <rPh sb="20" eb="22">
      <t>バアイ</t>
    </rPh>
    <rPh sb="24" eb="26">
      <t>ヨテイ</t>
    </rPh>
    <rPh sb="27" eb="29">
      <t>ニュウリョク</t>
    </rPh>
    <rPh sb="34" eb="36">
      <t>ミテイ</t>
    </rPh>
    <rPh sb="40" eb="42">
      <t>テイシュツ</t>
    </rPh>
    <phoneticPr fontId="1"/>
  </si>
  <si>
    <t xml:space="preserve">  9：00～10：30　</t>
    <phoneticPr fontId="1"/>
  </si>
  <si>
    <t xml:space="preserve">10：45～12：40 </t>
    <phoneticPr fontId="1"/>
  </si>
  <si>
    <t>12：55～14：25 　</t>
    <phoneticPr fontId="1"/>
  </si>
  <si>
    <t>14：40～16：10 　</t>
    <phoneticPr fontId="1"/>
  </si>
  <si>
    <t>16：20～17：50　</t>
    <phoneticPr fontId="1"/>
  </si>
  <si>
    <t>体育会</t>
    <rPh sb="0" eb="3">
      <t>タイイクカイ</t>
    </rPh>
    <phoneticPr fontId="1"/>
  </si>
  <si>
    <t>　　　　データ　　</t>
    <phoneticPr fontId="1"/>
  </si>
  <si>
    <t>080-</t>
    <phoneticPr fontId="1"/>
  </si>
  <si>
    <t>キャンパス</t>
    <phoneticPr fontId="1"/>
  </si>
  <si>
    <t>施設名</t>
    <rPh sb="0" eb="2">
      <t>シセツ</t>
    </rPh>
    <rPh sb="2" eb="3">
      <t>メイ</t>
    </rPh>
    <phoneticPr fontId="1"/>
  </si>
  <si>
    <t>活動場所</t>
    <rPh sb="0" eb="4">
      <t>カツドウバショ</t>
    </rPh>
    <phoneticPr fontId="1"/>
  </si>
  <si>
    <t>活動時間</t>
    <rPh sb="0" eb="2">
      <t>カツドウ</t>
    </rPh>
    <rPh sb="2" eb="4">
      <t>ジカン</t>
    </rPh>
    <phoneticPr fontId="1"/>
  </si>
  <si>
    <t>※プルダウンにない施設は、（２）（３）（４）を直接入力で対応してください</t>
    <rPh sb="9" eb="11">
      <t>シセツ</t>
    </rPh>
    <rPh sb="23" eb="25">
      <t>チョクセツ</t>
    </rPh>
    <rPh sb="25" eb="27">
      <t>ニュウリョク</t>
    </rPh>
    <rPh sb="28" eb="30">
      <t>タイオウ</t>
    </rPh>
    <phoneticPr fontId="1"/>
  </si>
  <si>
    <t>※特別時間帯（長期休暇、行事、工事等）時には、直接入力も可能です</t>
    <rPh sb="28" eb="30">
      <t>カノウ</t>
    </rPh>
    <phoneticPr fontId="1"/>
  </si>
  <si>
    <t>　BKC・衣笠2・3・8月は施設予約不可</t>
    <rPh sb="5" eb="7">
      <t>キヌガサ</t>
    </rPh>
    <rPh sb="12" eb="13">
      <t>ガツ</t>
    </rPh>
    <rPh sb="14" eb="16">
      <t>シセツ</t>
    </rPh>
    <rPh sb="16" eb="20">
      <t>ヨヤクフカ</t>
    </rPh>
    <phoneticPr fontId="1"/>
  </si>
  <si>
    <t>衣笠第２アリーナ全面</t>
  </si>
  <si>
    <t>必要のため後から追加</t>
    <rPh sb="0" eb="2">
      <t>ヒツヨウ</t>
    </rPh>
    <rPh sb="5" eb="6">
      <t>アト</t>
    </rPh>
    <rPh sb="8" eb="10">
      <t>ツイカ</t>
    </rPh>
    <phoneticPr fontId="1"/>
  </si>
  <si>
    <t>必要なため</t>
    <rPh sb="0" eb="2">
      <t>ヒツヨウ</t>
    </rPh>
    <phoneticPr fontId="1"/>
  </si>
  <si>
    <t>施設情報を</t>
    <rPh sb="0" eb="4">
      <t>シセツジョウホウ</t>
    </rPh>
    <phoneticPr fontId="1"/>
  </si>
  <si>
    <t>コピペの上</t>
    <rPh sb="4" eb="5">
      <t>ウエ</t>
    </rPh>
    <phoneticPr fontId="1"/>
  </si>
  <si>
    <t>全面用に作成</t>
    <rPh sb="0" eb="3">
      <t>ゼンメンヨウ</t>
    </rPh>
    <rPh sb="4" eb="6">
      <t>サクセイ</t>
    </rPh>
    <phoneticPr fontId="1"/>
  </si>
  <si>
    <t>BKCジム第１アリーナ バスケ２の半面</t>
    <rPh sb="17" eb="18">
      <t>ハン</t>
    </rPh>
    <rPh sb="18" eb="19">
      <t>メン</t>
    </rPh>
    <phoneticPr fontId="1"/>
  </si>
  <si>
    <t>BKCジム第１アリーナ バスケ１と２の半面</t>
    <rPh sb="19" eb="21">
      <t>ハンメン</t>
    </rPh>
    <phoneticPr fontId="1"/>
  </si>
  <si>
    <t>試合・合宿日程など</t>
    <rPh sb="0" eb="2">
      <t>シアイ</t>
    </rPh>
    <rPh sb="3" eb="5">
      <t>ガッシュク</t>
    </rPh>
    <rPh sb="5" eb="7">
      <t>ニッテイ</t>
    </rPh>
    <phoneticPr fontId="1"/>
  </si>
  <si>
    <t>Ｄ棟OICアリーナ２・３</t>
    <phoneticPr fontId="1"/>
  </si>
  <si>
    <t>Ｄ棟OICアリーナ３</t>
    <phoneticPr fontId="1"/>
  </si>
  <si>
    <t>②マクロボタン →</t>
    <phoneticPr fontId="1"/>
  </si>
  <si>
    <t>①　　　
複写/
削除時
「1」入力</t>
    <rPh sb="16" eb="18">
      <t>ニュウリョク</t>
    </rPh>
    <phoneticPr fontId="1"/>
  </si>
  <si>
    <t>開始時刻</t>
    <rPh sb="0" eb="2">
      <t>カイシ</t>
    </rPh>
    <rPh sb="2" eb="4">
      <t>ジコク</t>
    </rPh>
    <phoneticPr fontId="1"/>
  </si>
  <si>
    <t>終了時刻</t>
    <rPh sb="0" eb="2">
      <t>シュウリョウ</t>
    </rPh>
    <rPh sb="2" eb="4">
      <t>ジコク</t>
    </rPh>
    <phoneticPr fontId="1"/>
  </si>
  <si>
    <t>19：40～21：00</t>
    <phoneticPr fontId="1"/>
  </si>
  <si>
    <t>(BKC・衣笠2・3・8月は21：00まで）</t>
    <phoneticPr fontId="1"/>
  </si>
  <si>
    <t>(日・祝・衣笠2・3・8月は19：00）</t>
    <phoneticPr fontId="1"/>
  </si>
  <si>
    <r>
      <rPr>
        <sz val="11"/>
        <rFont val="Meiryo UI"/>
        <family val="3"/>
        <charset val="128"/>
      </rPr>
      <t>施設利用が始まる</t>
    </r>
    <r>
      <rPr>
        <sz val="11"/>
        <color theme="1"/>
        <rFont val="Meiryo UI"/>
        <family val="3"/>
        <charset val="128"/>
      </rPr>
      <t>時刻をプルダウンより選びます</t>
    </r>
    <rPh sb="0" eb="4">
      <t>シセツリヨウ</t>
    </rPh>
    <rPh sb="5" eb="6">
      <t>ハジ</t>
    </rPh>
    <rPh sb="18" eb="19">
      <t>エラ</t>
    </rPh>
    <phoneticPr fontId="1"/>
  </si>
  <si>
    <r>
      <t xml:space="preserve">  　　〃 </t>
    </r>
    <r>
      <rPr>
        <b/>
        <sz val="11"/>
        <color rgb="FFFF0000"/>
        <rFont val="Meiryo UI"/>
        <family val="3"/>
        <charset val="128"/>
      </rPr>
      <t xml:space="preserve">　 </t>
    </r>
    <r>
      <rPr>
        <sz val="11"/>
        <rFont val="Meiryo UI"/>
        <family val="3"/>
        <charset val="128"/>
      </rPr>
      <t>　終わる</t>
    </r>
    <r>
      <rPr>
        <sz val="11"/>
        <color theme="1"/>
        <rFont val="Meiryo UI"/>
        <family val="3"/>
        <charset val="128"/>
      </rPr>
      <t>時刻を　　　　　　〃</t>
    </r>
    <rPh sb="9" eb="10">
      <t>オ</t>
    </rPh>
    <phoneticPr fontId="1"/>
  </si>
  <si>
    <t>立命スポーツ編集局</t>
    <rPh sb="0" eb="2">
      <t>リツメイ</t>
    </rPh>
    <rPh sb="6" eb="9">
      <t>ヘンシュウキョク</t>
    </rPh>
    <phoneticPr fontId="1"/>
  </si>
  <si>
    <t>s026-1</t>
    <phoneticPr fontId="1"/>
  </si>
  <si>
    <t>水泳部　競泳部門</t>
    <rPh sb="0" eb="2">
      <t>スイエイ</t>
    </rPh>
    <rPh sb="2" eb="3">
      <t>ブ</t>
    </rPh>
    <rPh sb="4" eb="6">
      <t>キョウエイ</t>
    </rPh>
    <rPh sb="6" eb="8">
      <t>ブモン</t>
    </rPh>
    <phoneticPr fontId="1"/>
  </si>
  <si>
    <t>s026-2</t>
    <phoneticPr fontId="1"/>
  </si>
  <si>
    <t>水泳部　水球部門</t>
    <rPh sb="0" eb="2">
      <t>スイエイ</t>
    </rPh>
    <rPh sb="2" eb="3">
      <t>ブ</t>
    </rPh>
    <rPh sb="4" eb="6">
      <t>スイキュウ</t>
    </rPh>
    <rPh sb="6" eb="8">
      <t>ブモン</t>
    </rPh>
    <phoneticPr fontId="1"/>
  </si>
  <si>
    <t>KT京都衣笠第１アリーナ西面</t>
    <rPh sb="2" eb="4">
      <t>キョウト</t>
    </rPh>
    <rPh sb="12" eb="13">
      <t>ニシ</t>
    </rPh>
    <phoneticPr fontId="1"/>
  </si>
  <si>
    <t>KT京都衣笠第１アリーナ西面</t>
    <rPh sb="12" eb="13">
      <t>ニシ</t>
    </rPh>
    <phoneticPr fontId="1"/>
  </si>
  <si>
    <t>KT京都衣笠第１アリーナ東面</t>
    <rPh sb="12" eb="13">
      <t>ヒガシ</t>
    </rPh>
    <phoneticPr fontId="1"/>
  </si>
  <si>
    <t>KT京都衣笠第２アリーナ西面</t>
    <rPh sb="12" eb="13">
      <t>ニシ</t>
    </rPh>
    <rPh sb="13" eb="14">
      <t>メン</t>
    </rPh>
    <phoneticPr fontId="1"/>
  </si>
  <si>
    <t>KT京都衣笠第２アリーナ東面</t>
    <rPh sb="12" eb="13">
      <t>ヒガシ</t>
    </rPh>
    <rPh sb="13" eb="14">
      <t>メン</t>
    </rPh>
    <phoneticPr fontId="1"/>
  </si>
  <si>
    <t>KT京都衣笠第３アリーナ全面</t>
    <rPh sb="12" eb="13">
      <t>ゼン</t>
    </rPh>
    <phoneticPr fontId="1"/>
  </si>
  <si>
    <t>KT京都衣笠第２アリーナ全面</t>
    <rPh sb="12" eb="14">
      <t>ゼンメン</t>
    </rPh>
    <phoneticPr fontId="1"/>
  </si>
  <si>
    <t>KT京都衣笠体育館</t>
    <phoneticPr fontId="1"/>
  </si>
  <si>
    <t>KT京都衣笠第２アリーナ全面</t>
    <phoneticPr fontId="1"/>
  </si>
  <si>
    <t>KT京都衣笠体育館第１アリーナ　１面</t>
    <phoneticPr fontId="1"/>
  </si>
  <si>
    <t>KT京都衣笠体育館第１アリーナ　２面</t>
    <phoneticPr fontId="1"/>
  </si>
  <si>
    <t>KT京都衣笠体育館第１アリーナ　３面</t>
    <phoneticPr fontId="1"/>
  </si>
  <si>
    <t>KT京都衣笠体育館第１アリーナ　４面</t>
    <phoneticPr fontId="1"/>
  </si>
  <si>
    <t>KT京都衣笠体育館第１アリーナ　５面</t>
    <phoneticPr fontId="1"/>
  </si>
  <si>
    <t>KT京都衣笠体育館第１アリーナ　６面</t>
    <phoneticPr fontId="1"/>
  </si>
  <si>
    <t>KT京都衣笠体育館第１アリーナ　７面</t>
    <phoneticPr fontId="1"/>
  </si>
  <si>
    <t>KT京都衣笠体育館第２アリーナ　１面</t>
    <phoneticPr fontId="1"/>
  </si>
  <si>
    <t>KT京都衣笠体育館第２アリーナ　２面</t>
    <phoneticPr fontId="1"/>
  </si>
  <si>
    <t>KT京都衣笠体育館第２アリーナ　３面</t>
    <phoneticPr fontId="1"/>
  </si>
  <si>
    <t>KT京都衣笠体育館第２アリーナ　４面</t>
    <phoneticPr fontId="1"/>
  </si>
  <si>
    <t>KT京都衣笠体育館第２アリーナ　５面</t>
    <phoneticPr fontId="1"/>
  </si>
  <si>
    <t>KT京都衣笠体育館第２アリーナ　６面</t>
    <phoneticPr fontId="1"/>
  </si>
  <si>
    <t>KT京都衣笠体育館第３アリーナ　１面</t>
    <phoneticPr fontId="1"/>
  </si>
  <si>
    <t>KT京都衣笠体育館第３アリーナ　２面</t>
    <phoneticPr fontId="1"/>
  </si>
  <si>
    <t>KT京都衣笠体育館第３アリーナ　３面</t>
    <phoneticPr fontId="1"/>
  </si>
  <si>
    <t>KT京都衣笠体育館第３アリーナ　４面</t>
    <phoneticPr fontId="1"/>
  </si>
  <si>
    <t>KT京都衣笠体育館第３アリーナ　５面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</si>
</sst>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年 &quot;m&quot;月&quot;"/>
    <numFmt numFmtId="177" formatCode="d"/>
    <numFmt numFmtId="178" formatCode="hhmm"/>
    <numFmt numFmtId="179" formatCode="#&quot; 人&quot;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10"/>
      <color rgb="FF000000"/>
      <name val="游ゴシック"/>
      <family val="3"/>
      <charset val="128"/>
    </font>
    <font>
      <sz val="10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0"/>
      <name val="HGPｺﾞｼｯｸM"/>
      <family val="3"/>
      <charset val="128"/>
    </font>
    <font>
      <sz val="6"/>
      <name val="游ゴシック"/>
      <family val="3"/>
      <charset val="128"/>
      <scheme val="minor"/>
    </font>
    <font>
      <sz val="10"/>
      <color theme="1"/>
      <name val="HGPｺﾞｼｯｸM"/>
      <family val="3"/>
      <charset val="128"/>
    </font>
    <font>
      <sz val="1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color theme="1"/>
      <name val="游ゴシック"/>
      <family val="2"/>
      <charset val="128"/>
      <scheme val="minor"/>
    </font>
    <font>
      <b/>
      <sz val="11"/>
      <color rgb="FFFF0000"/>
      <name val="Meiryo UI"/>
      <family val="3"/>
      <charset val="128"/>
    </font>
    <font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rgb="FF000000"/>
      <name val="Calibri"/>
      <family val="3"/>
      <charset val="128"/>
    </font>
    <font>
      <b/>
      <sz val="12"/>
      <color rgb="FF000000"/>
      <name val="ＭＳ ゴシック"/>
      <family val="3"/>
      <charset val="128"/>
    </font>
    <font>
      <b/>
      <sz val="12"/>
      <color rgb="FF000000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sz val="12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EFFF"/>
        <bgColor indexed="64"/>
      </patternFill>
    </fill>
    <fill>
      <patternFill patternType="solid">
        <fgColor rgb="FFEFF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EBF7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3F3"/>
        <bgColor indexed="64"/>
      </patternFill>
    </fill>
    <fill>
      <patternFill patternType="solid">
        <fgColor rgb="FFD3E6F5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thin">
        <color auto="1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38" fontId="25" fillId="0" borderId="0" applyFont="0" applyFill="0" applyBorder="0" applyAlignment="0" applyProtection="0">
      <alignment vertical="center"/>
    </xf>
  </cellStyleXfs>
  <cellXfs count="157">
    <xf numFmtId="0" fontId="0" fillId="0" borderId="0" xfId="0">
      <alignment vertical="center"/>
    </xf>
    <xf numFmtId="0" fontId="0" fillId="0" borderId="1" xfId="0" applyBorder="1">
      <alignment vertical="center"/>
    </xf>
    <xf numFmtId="14" fontId="3" fillId="3" borderId="0" xfId="1" applyNumberFormat="1" applyFont="1" applyFill="1">
      <alignment vertical="center"/>
    </xf>
    <xf numFmtId="0" fontId="3" fillId="4" borderId="0" xfId="1" applyFont="1" applyFill="1">
      <alignment vertical="center"/>
    </xf>
    <xf numFmtId="0" fontId="3" fillId="5" borderId="0" xfId="1" applyFont="1" applyFill="1">
      <alignment vertical="center"/>
    </xf>
    <xf numFmtId="0" fontId="3" fillId="6" borderId="0" xfId="1" applyFont="1" applyFill="1">
      <alignment vertical="center"/>
    </xf>
    <xf numFmtId="0" fontId="3" fillId="2" borderId="0" xfId="1" applyFont="1" applyFill="1">
      <alignment vertical="center"/>
    </xf>
    <xf numFmtId="0" fontId="3" fillId="3" borderId="0" xfId="1" applyFont="1" applyFill="1">
      <alignment vertical="center"/>
    </xf>
    <xf numFmtId="0" fontId="3" fillId="0" borderId="0" xfId="1" applyFont="1">
      <alignment vertical="center"/>
    </xf>
    <xf numFmtId="177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2" fillId="6" borderId="0" xfId="0" applyFont="1" applyFill="1">
      <alignment vertical="center"/>
    </xf>
    <xf numFmtId="0" fontId="2" fillId="2" borderId="0" xfId="0" applyFont="1" applyFill="1">
      <alignment vertical="center"/>
    </xf>
    <xf numFmtId="49" fontId="6" fillId="4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3" borderId="8" xfId="0" applyFont="1" applyFill="1" applyBorder="1" applyAlignment="1">
      <alignment horizontal="left" vertical="center"/>
    </xf>
    <xf numFmtId="0" fontId="0" fillId="0" borderId="0" xfId="0" applyFill="1" applyBorder="1">
      <alignment vertical="center"/>
    </xf>
    <xf numFmtId="0" fontId="0" fillId="0" borderId="0" xfId="0" applyFill="1">
      <alignment vertical="center"/>
    </xf>
    <xf numFmtId="178" fontId="3" fillId="4" borderId="0" xfId="1" applyNumberFormat="1" applyFont="1" applyFill="1">
      <alignment vertical="center"/>
    </xf>
    <xf numFmtId="178" fontId="3" fillId="5" borderId="0" xfId="1" applyNumberFormat="1" applyFont="1" applyFill="1">
      <alignment vertical="center"/>
    </xf>
    <xf numFmtId="178" fontId="0" fillId="0" borderId="0" xfId="0" applyNumberFormat="1">
      <alignment vertical="center"/>
    </xf>
    <xf numFmtId="176" fontId="8" fillId="0" borderId="0" xfId="0" applyNumberFormat="1" applyFont="1" applyAlignment="1">
      <alignment vertical="center"/>
    </xf>
    <xf numFmtId="0" fontId="7" fillId="0" borderId="0" xfId="0" applyFont="1" applyBorder="1" applyAlignment="1" applyProtection="1">
      <alignment horizontal="right" vertical="center"/>
      <protection locked="0"/>
    </xf>
    <xf numFmtId="49" fontId="7" fillId="0" borderId="9" xfId="0" applyNumberFormat="1" applyFont="1" applyFill="1" applyBorder="1" applyAlignment="1">
      <alignment horizontal="right" vertical="distributed"/>
    </xf>
    <xf numFmtId="0" fontId="7" fillId="0" borderId="0" xfId="0" applyFont="1" applyFill="1" applyBorder="1" applyAlignment="1">
      <alignment horizontal="right" vertical="distributed"/>
    </xf>
    <xf numFmtId="0" fontId="0" fillId="0" borderId="0" xfId="0" applyBorder="1" applyAlignment="1">
      <alignment vertical="center"/>
    </xf>
    <xf numFmtId="0" fontId="0" fillId="2" borderId="0" xfId="0" applyFill="1">
      <alignment vertical="center"/>
    </xf>
    <xf numFmtId="0" fontId="12" fillId="2" borderId="0" xfId="0" applyFont="1" applyFill="1">
      <alignment vertical="center"/>
    </xf>
    <xf numFmtId="49" fontId="6" fillId="0" borderId="0" xfId="0" applyNumberFormat="1" applyFont="1" applyFill="1" applyBorder="1" applyAlignment="1">
      <alignment horizontal="left" vertical="center"/>
    </xf>
    <xf numFmtId="0" fontId="0" fillId="0" borderId="0" xfId="0">
      <alignment vertical="center"/>
    </xf>
    <xf numFmtId="14" fontId="3" fillId="2" borderId="0" xfId="1" applyNumberFormat="1" applyFont="1" applyFill="1">
      <alignment vertical="center"/>
    </xf>
    <xf numFmtId="14" fontId="0" fillId="0" borderId="0" xfId="0" applyNumberFormat="1">
      <alignment vertical="center"/>
    </xf>
    <xf numFmtId="177" fontId="13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15" xfId="0" applyFont="1" applyBorder="1">
      <alignment vertical="center"/>
    </xf>
    <xf numFmtId="0" fontId="14" fillId="0" borderId="11" xfId="0" applyFont="1" applyBorder="1">
      <alignment vertical="center"/>
    </xf>
    <xf numFmtId="0" fontId="14" fillId="0" borderId="16" xfId="0" applyFont="1" applyBorder="1">
      <alignment vertical="center"/>
    </xf>
    <xf numFmtId="0" fontId="14" fillId="0" borderId="17" xfId="0" applyFont="1" applyBorder="1">
      <alignment vertical="center"/>
    </xf>
    <xf numFmtId="0" fontId="14" fillId="0" borderId="12" xfId="0" applyFont="1" applyBorder="1">
      <alignment vertical="center"/>
    </xf>
    <xf numFmtId="49" fontId="14" fillId="0" borderId="17" xfId="0" applyNumberFormat="1" applyFont="1" applyBorder="1">
      <alignment vertical="center"/>
    </xf>
    <xf numFmtId="49" fontId="14" fillId="0" borderId="0" xfId="0" applyNumberFormat="1" applyFont="1">
      <alignment vertical="center"/>
    </xf>
    <xf numFmtId="49" fontId="16" fillId="11" borderId="0" xfId="0" applyNumberFormat="1" applyFont="1" applyFill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49" fontId="17" fillId="12" borderId="13" xfId="0" applyNumberFormat="1" applyFont="1" applyFill="1" applyBorder="1" applyAlignment="1">
      <alignment horizontal="center" vertical="center"/>
    </xf>
    <xf numFmtId="49" fontId="17" fillId="12" borderId="16" xfId="0" applyNumberFormat="1" applyFont="1" applyFill="1" applyBorder="1" applyAlignment="1">
      <alignment horizontal="center" vertical="center"/>
    </xf>
    <xf numFmtId="49" fontId="16" fillId="0" borderId="0" xfId="0" applyNumberFormat="1" applyFont="1" applyFill="1" applyAlignment="1">
      <alignment horizontal="center" vertical="center"/>
    </xf>
    <xf numFmtId="0" fontId="14" fillId="0" borderId="21" xfId="0" applyFont="1" applyBorder="1">
      <alignment vertical="center"/>
    </xf>
    <xf numFmtId="0" fontId="14" fillId="0" borderId="19" xfId="0" applyFont="1" applyBorder="1">
      <alignment vertical="center"/>
    </xf>
    <xf numFmtId="0" fontId="14" fillId="0" borderId="20" xfId="0" applyFont="1" applyBorder="1">
      <alignment vertical="center"/>
    </xf>
    <xf numFmtId="0" fontId="21" fillId="0" borderId="0" xfId="0" applyFont="1" applyAlignment="1">
      <alignment horizontal="left" vertical="center"/>
    </xf>
    <xf numFmtId="0" fontId="14" fillId="0" borderId="0" xfId="0" applyFont="1" applyBorder="1">
      <alignment vertical="center"/>
    </xf>
    <xf numFmtId="0" fontId="14" fillId="0" borderId="23" xfId="0" applyFont="1" applyBorder="1">
      <alignment vertical="center"/>
    </xf>
    <xf numFmtId="0" fontId="14" fillId="0" borderId="26" xfId="0" applyFont="1" applyBorder="1">
      <alignment vertical="center"/>
    </xf>
    <xf numFmtId="0" fontId="14" fillId="0" borderId="27" xfId="0" applyFont="1" applyBorder="1">
      <alignment vertical="center"/>
    </xf>
    <xf numFmtId="0" fontId="14" fillId="0" borderId="29" xfId="0" applyFont="1" applyBorder="1">
      <alignment vertical="center"/>
    </xf>
    <xf numFmtId="0" fontId="14" fillId="0" borderId="30" xfId="0" applyFont="1" applyBorder="1">
      <alignment vertical="center"/>
    </xf>
    <xf numFmtId="0" fontId="14" fillId="0" borderId="31" xfId="0" applyFont="1" applyBorder="1">
      <alignment vertical="center"/>
    </xf>
    <xf numFmtId="0" fontId="14" fillId="0" borderId="34" xfId="0" applyFont="1" applyBorder="1">
      <alignment vertical="center"/>
    </xf>
    <xf numFmtId="0" fontId="14" fillId="0" borderId="0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22" fillId="0" borderId="0" xfId="0" applyFont="1" applyBorder="1">
      <alignment vertical="center"/>
    </xf>
    <xf numFmtId="0" fontId="7" fillId="13" borderId="1" xfId="0" applyFont="1" applyFill="1" applyBorder="1" applyAlignment="1">
      <alignment horizontal="center" vertical="center"/>
    </xf>
    <xf numFmtId="0" fontId="7" fillId="13" borderId="7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26" fillId="0" borderId="0" xfId="0" applyFont="1">
      <alignment vertical="center"/>
    </xf>
    <xf numFmtId="0" fontId="0" fillId="0" borderId="5" xfId="0" applyBorder="1">
      <alignment vertical="center"/>
    </xf>
    <xf numFmtId="0" fontId="12" fillId="0" borderId="0" xfId="0" applyFont="1">
      <alignment vertical="center"/>
    </xf>
    <xf numFmtId="0" fontId="0" fillId="0" borderId="0" xfId="0" applyAlignment="1">
      <alignment horizontal="left" vertical="center"/>
    </xf>
    <xf numFmtId="0" fontId="7" fillId="0" borderId="0" xfId="0" applyFont="1" applyBorder="1" applyAlignment="1">
      <alignment horizontal="center" vertical="center"/>
    </xf>
    <xf numFmtId="0" fontId="7" fillId="13" borderId="1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textRotation="255"/>
    </xf>
    <xf numFmtId="20" fontId="28" fillId="0" borderId="7" xfId="0" applyNumberFormat="1" applyFont="1" applyBorder="1" applyAlignment="1">
      <alignment horizontal="center" vertical="center"/>
    </xf>
    <xf numFmtId="20" fontId="28" fillId="0" borderId="4" xfId="0" applyNumberFormat="1" applyFont="1" applyBorder="1" applyAlignment="1">
      <alignment horizontal="center" vertical="center"/>
    </xf>
    <xf numFmtId="0" fontId="20" fillId="0" borderId="19" xfId="0" applyFont="1" applyBorder="1">
      <alignment vertical="center"/>
    </xf>
    <xf numFmtId="0" fontId="20" fillId="0" borderId="17" xfId="0" applyFont="1" applyBorder="1">
      <alignment vertical="center"/>
    </xf>
    <xf numFmtId="0" fontId="20" fillId="0" borderId="31" xfId="0" applyFont="1" applyBorder="1">
      <alignment vertical="center"/>
    </xf>
    <xf numFmtId="49" fontId="7" fillId="0" borderId="0" xfId="0" applyNumberFormat="1" applyFont="1" applyFill="1" applyBorder="1" applyAlignment="1">
      <alignment vertical="center"/>
    </xf>
    <xf numFmtId="0" fontId="0" fillId="15" borderId="0" xfId="0" applyFill="1">
      <alignment vertical="center"/>
    </xf>
    <xf numFmtId="0" fontId="29" fillId="0" borderId="1" xfId="0" applyFont="1" applyBorder="1" applyAlignment="1">
      <alignment vertical="center" wrapText="1"/>
    </xf>
    <xf numFmtId="179" fontId="29" fillId="0" borderId="1" xfId="0" applyNumberFormat="1" applyFont="1" applyBorder="1" applyAlignment="1">
      <alignment vertical="center" wrapText="1"/>
    </xf>
    <xf numFmtId="49" fontId="29" fillId="0" borderId="1" xfId="0" applyNumberFormat="1" applyFont="1" applyBorder="1" applyAlignment="1">
      <alignment vertical="center" wrapText="1"/>
    </xf>
    <xf numFmtId="14" fontId="7" fillId="13" borderId="1" xfId="0" applyNumberFormat="1" applyFont="1" applyFill="1" applyBorder="1" applyAlignment="1">
      <alignment horizontal="center" vertical="center"/>
    </xf>
    <xf numFmtId="14" fontId="13" fillId="0" borderId="1" xfId="0" applyNumberFormat="1" applyFont="1" applyBorder="1" applyAlignment="1">
      <alignment horizontal="center" vertical="center"/>
    </xf>
    <xf numFmtId="0" fontId="14" fillId="0" borderId="4" xfId="0" applyFont="1" applyBorder="1">
      <alignment vertical="center"/>
    </xf>
    <xf numFmtId="0" fontId="0" fillId="0" borderId="6" xfId="0" applyBorder="1">
      <alignment vertical="center"/>
    </xf>
    <xf numFmtId="0" fontId="0" fillId="0" borderId="5" xfId="0" applyBorder="1">
      <alignment vertical="center"/>
    </xf>
    <xf numFmtId="0" fontId="20" fillId="0" borderId="4" xfId="0" applyFont="1" applyBorder="1">
      <alignment vertical="center"/>
    </xf>
    <xf numFmtId="0" fontId="12" fillId="0" borderId="6" xfId="0" applyFont="1" applyBorder="1">
      <alignment vertical="center"/>
    </xf>
    <xf numFmtId="0" fontId="12" fillId="0" borderId="5" xfId="0" applyFont="1" applyBorder="1">
      <alignment vertical="center"/>
    </xf>
    <xf numFmtId="0" fontId="14" fillId="0" borderId="13" xfId="0" applyFont="1" applyBorder="1">
      <alignment vertical="center"/>
    </xf>
    <xf numFmtId="0" fontId="0" fillId="0" borderId="10" xfId="0" applyBorder="1">
      <alignment vertical="center"/>
    </xf>
    <xf numFmtId="0" fontId="0" fillId="0" borderId="16" xfId="0" applyBorder="1">
      <alignment vertical="center"/>
    </xf>
    <xf numFmtId="0" fontId="0" fillId="0" borderId="12" xfId="0" applyBorder="1">
      <alignment vertical="center"/>
    </xf>
    <xf numFmtId="0" fontId="14" fillId="0" borderId="13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5" fillId="0" borderId="16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17" fillId="12" borderId="13" xfId="0" applyFont="1" applyFill="1" applyBorder="1" applyAlignment="1">
      <alignment horizontal="center" vertical="center"/>
    </xf>
    <xf numFmtId="0" fontId="18" fillId="12" borderId="14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18" fillId="12" borderId="16" xfId="0" applyFont="1" applyFill="1" applyBorder="1" applyAlignment="1">
      <alignment horizontal="center" vertical="center"/>
    </xf>
    <xf numFmtId="0" fontId="18" fillId="12" borderId="17" xfId="0" applyFont="1" applyFill="1" applyBorder="1" applyAlignment="1">
      <alignment horizontal="center" vertical="center"/>
    </xf>
    <xf numFmtId="0" fontId="18" fillId="12" borderId="12" xfId="0" applyFont="1" applyFill="1" applyBorder="1" applyAlignment="1">
      <alignment horizontal="center" vertical="center"/>
    </xf>
    <xf numFmtId="0" fontId="14" fillId="0" borderId="29" xfId="0" applyFont="1" applyBorder="1" applyAlignment="1">
      <alignment horizontal="center" vertical="center" wrapText="1"/>
    </xf>
    <xf numFmtId="0" fontId="14" fillId="0" borderId="32" xfId="0" applyFont="1" applyBorder="1" applyAlignment="1">
      <alignment horizontal="center" vertical="center" wrapText="1"/>
    </xf>
    <xf numFmtId="0" fontId="14" fillId="0" borderId="33" xfId="0" applyFont="1" applyBorder="1" applyAlignment="1">
      <alignment horizontal="center" vertical="center" wrapText="1"/>
    </xf>
    <xf numFmtId="0" fontId="14" fillId="0" borderId="23" xfId="0" applyFont="1" applyBorder="1" applyAlignment="1">
      <alignment horizontal="center" vertical="center" wrapText="1"/>
    </xf>
    <xf numFmtId="0" fontId="14" fillId="0" borderId="24" xfId="0" applyFont="1" applyBorder="1" applyAlignment="1">
      <alignment horizontal="center" vertical="center" wrapText="1"/>
    </xf>
    <xf numFmtId="0" fontId="14" fillId="0" borderId="25" xfId="0" applyFont="1" applyBorder="1" applyAlignment="1">
      <alignment horizontal="center" vertical="center" wrapText="1"/>
    </xf>
    <xf numFmtId="0" fontId="14" fillId="0" borderId="14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4" fillId="0" borderId="22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20" fillId="0" borderId="14" xfId="0" applyFont="1" applyBorder="1" applyAlignment="1">
      <alignment horizontal="left" vertical="center"/>
    </xf>
    <xf numFmtId="0" fontId="20" fillId="0" borderId="17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7" fillId="0" borderId="9" xfId="0" applyFont="1" applyBorder="1" applyAlignment="1">
      <alignment horizontal="right" vertical="center"/>
    </xf>
    <xf numFmtId="0" fontId="7" fillId="13" borderId="2" xfId="0" applyFont="1" applyFill="1" applyBorder="1" applyAlignment="1">
      <alignment horizontal="center" vertical="center" wrapText="1"/>
    </xf>
    <xf numFmtId="0" fontId="7" fillId="13" borderId="3" xfId="0" applyFont="1" applyFill="1" applyBorder="1" applyAlignment="1">
      <alignment horizontal="center" vertical="center"/>
    </xf>
    <xf numFmtId="0" fontId="7" fillId="13" borderId="4" xfId="0" applyFont="1" applyFill="1" applyBorder="1" applyAlignment="1">
      <alignment horizontal="center" vertical="center"/>
    </xf>
    <xf numFmtId="0" fontId="7" fillId="13" borderId="6" xfId="0" applyFont="1" applyFill="1" applyBorder="1" applyAlignment="1">
      <alignment horizontal="center" vertical="center"/>
    </xf>
    <xf numFmtId="0" fontId="7" fillId="13" borderId="5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left" vertical="center"/>
    </xf>
    <xf numFmtId="49" fontId="7" fillId="0" borderId="0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horizontal="right"/>
    </xf>
    <xf numFmtId="0" fontId="7" fillId="13" borderId="2" xfId="0" applyFont="1" applyFill="1" applyBorder="1" applyAlignment="1">
      <alignment horizontal="center" vertical="center"/>
    </xf>
    <xf numFmtId="0" fontId="27" fillId="13" borderId="2" xfId="0" applyFont="1" applyFill="1" applyBorder="1" applyAlignment="1">
      <alignment horizontal="center" vertical="center" wrapText="1"/>
    </xf>
    <xf numFmtId="0" fontId="7" fillId="13" borderId="13" xfId="0" applyFont="1" applyFill="1" applyBorder="1" applyAlignment="1">
      <alignment horizontal="center" vertical="center"/>
    </xf>
    <xf numFmtId="0" fontId="7" fillId="13" borderId="10" xfId="0" applyFont="1" applyFill="1" applyBorder="1" applyAlignment="1">
      <alignment horizontal="center" vertical="center"/>
    </xf>
    <xf numFmtId="49" fontId="7" fillId="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176" fontId="8" fillId="0" borderId="0" xfId="0" applyNumberFormat="1" applyFont="1" applyAlignment="1">
      <alignment horizontal="right" vertical="center"/>
    </xf>
    <xf numFmtId="0" fontId="8" fillId="0" borderId="0" xfId="0" applyFont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38" fontId="7" fillId="0" borderId="0" xfId="2" applyFont="1" applyBorder="1" applyAlignment="1">
      <alignment horizontal="right" vertical="center"/>
    </xf>
    <xf numFmtId="38" fontId="7" fillId="0" borderId="9" xfId="2" applyFont="1" applyBorder="1" applyAlignment="1">
      <alignment horizontal="right" vertical="center"/>
    </xf>
    <xf numFmtId="0" fontId="0" fillId="0" borderId="10" xfId="0" applyBorder="1" applyAlignment="1">
      <alignment horizontal="center" vertical="center" textRotation="255"/>
    </xf>
    <xf numFmtId="0" fontId="0" fillId="0" borderId="11" xfId="0" applyBorder="1" applyAlignment="1">
      <alignment horizontal="center" vertical="center" textRotation="255"/>
    </xf>
    <xf numFmtId="0" fontId="0" fillId="0" borderId="12" xfId="0" applyBorder="1" applyAlignment="1">
      <alignment horizontal="center" vertical="center" textRotation="255"/>
    </xf>
    <xf numFmtId="0" fontId="0" fillId="14" borderId="15" xfId="0" applyFill="1" applyBorder="1" applyAlignment="1">
      <alignment horizontal="center" vertical="top" textRotation="180"/>
    </xf>
  </cellXfs>
  <cellStyles count="3">
    <cellStyle name="桁区切り" xfId="2" builtinId="6"/>
    <cellStyle name="標準" xfId="0" builtinId="0"/>
    <cellStyle name="標準 2 2" xfId="1" xr:uid="{A7C4AF6C-ABE9-433B-84AC-48F94F0657D3}"/>
  </cellStyles>
  <dxfs count="34">
    <dxf>
      <font>
        <b/>
        <i val="0"/>
        <color rgb="FF002060"/>
      </font>
    </dxf>
    <dxf>
      <font>
        <b/>
        <i val="0"/>
        <color theme="4" tint="-0.499984740745262"/>
      </font>
    </dxf>
    <dxf>
      <font>
        <b/>
        <i val="0"/>
        <color rgb="FFC00000"/>
      </font>
    </dxf>
    <dxf>
      <fill>
        <patternFill>
          <bgColor rgb="FFBDD7EE"/>
        </patternFill>
      </fill>
    </dxf>
    <dxf>
      <fill>
        <patternFill patternType="gray0625">
          <fgColor rgb="FFFF7C80"/>
          <bgColor rgb="FFFFDCDC"/>
        </patternFill>
      </fill>
    </dxf>
    <dxf>
      <fill>
        <patternFill patternType="gray0625">
          <bgColor rgb="FFFFE699"/>
        </patternFill>
      </fill>
    </dxf>
    <dxf>
      <fill>
        <patternFill patternType="gray0625">
          <bgColor rgb="FFFFE699"/>
        </patternFill>
      </fill>
    </dxf>
    <dxf>
      <font>
        <b/>
        <i val="0"/>
        <color theme="4" tint="-0.499984740745262"/>
      </font>
      <fill>
        <patternFill>
          <bgColor rgb="FFBDD7EE"/>
        </patternFill>
      </fill>
    </dxf>
    <dxf>
      <font>
        <b/>
        <i val="0"/>
        <color rgb="FFC00000"/>
      </font>
      <fill>
        <patternFill patternType="gray0625">
          <fgColor rgb="FFFF7C80"/>
          <bgColor rgb="FFFFDCDC"/>
        </patternFill>
      </fill>
    </dxf>
    <dxf>
      <fill>
        <patternFill patternType="gray0625">
          <fgColor theme="7" tint="-0.24994659260841701"/>
          <bgColor theme="7" tint="0.59996337778862885"/>
        </patternFill>
      </fill>
    </dxf>
    <dxf>
      <fill>
        <patternFill patternType="gray0625">
          <fgColor theme="7" tint="-0.24994659260841701"/>
          <bgColor theme="7" tint="0.59996337778862885"/>
        </patternFill>
      </fill>
    </dxf>
    <dxf>
      <fill>
        <patternFill>
          <bgColor rgb="FFBDD7EE"/>
        </patternFill>
      </fill>
    </dxf>
    <dxf>
      <fill>
        <patternFill patternType="gray0625">
          <fgColor rgb="FFFF7C80"/>
          <bgColor rgb="FFFFDCDC"/>
        </patternFill>
      </fill>
    </dxf>
    <dxf>
      <font>
        <b/>
        <i val="0"/>
        <color rgb="FFC00000"/>
      </font>
    </dxf>
    <dxf>
      <font>
        <b/>
        <i val="0"/>
        <color theme="4" tint="-0.499984740745262"/>
      </font>
    </dxf>
    <dxf>
      <font>
        <b/>
        <i val="0"/>
        <color rgb="FF002060"/>
      </font>
    </dxf>
    <dxf>
      <fill>
        <patternFill>
          <bgColor rgb="FFBDD7EE"/>
        </patternFill>
      </fill>
    </dxf>
    <dxf>
      <fill>
        <patternFill patternType="gray0625">
          <fgColor rgb="FFFF7C80"/>
          <bgColor rgb="FFFFDCDC"/>
        </patternFill>
      </fill>
    </dxf>
    <dxf>
      <fill>
        <patternFill patternType="gray0625">
          <bgColor rgb="FFFFE699"/>
        </patternFill>
      </fill>
    </dxf>
    <dxf>
      <fill>
        <patternFill patternType="gray0625">
          <bgColor rgb="FFFFE699"/>
        </patternFill>
      </fill>
    </dxf>
    <dxf>
      <fill>
        <patternFill patternType="gray0625">
          <fgColor theme="7" tint="-0.24994659260841701"/>
          <bgColor theme="7" tint="0.59996337778862885"/>
        </patternFill>
      </fill>
    </dxf>
    <dxf>
      <fill>
        <patternFill patternType="gray0625">
          <fgColor theme="7" tint="-0.24994659260841701"/>
          <bgColor theme="7" tint="0.59996337778862885"/>
        </patternFill>
      </fill>
    </dxf>
    <dxf>
      <fill>
        <patternFill>
          <bgColor rgb="FFBDD7EE"/>
        </patternFill>
      </fill>
    </dxf>
    <dxf>
      <fill>
        <patternFill patternType="gray0625">
          <fgColor rgb="FFFF7C80"/>
          <bgColor rgb="FFFFDCDC"/>
        </patternFill>
      </fill>
    </dxf>
    <dxf>
      <fill>
        <patternFill patternType="gray0625">
          <bgColor rgb="FFFFE699"/>
        </patternFill>
      </fill>
    </dxf>
    <dxf>
      <fill>
        <patternFill patternType="gray0625">
          <bgColor rgb="FFFFE699"/>
        </patternFill>
      </fill>
    </dxf>
    <dxf>
      <fill>
        <patternFill patternType="gray0625">
          <fgColor rgb="FFFF7C80"/>
          <bgColor rgb="FFFFDCDC"/>
        </patternFill>
      </fill>
    </dxf>
    <dxf>
      <fill>
        <patternFill>
          <bgColor rgb="FFBDD7EE"/>
        </patternFill>
      </fill>
    </dxf>
    <dxf>
      <font>
        <b/>
        <i val="0"/>
        <color theme="4" tint="-0.499984740745262"/>
      </font>
      <fill>
        <patternFill>
          <bgColor rgb="FFBDD7EE"/>
        </patternFill>
      </fill>
    </dxf>
    <dxf>
      <font>
        <b/>
        <i val="0"/>
        <color rgb="FFC00000"/>
      </font>
      <fill>
        <patternFill patternType="gray0625">
          <fgColor rgb="FFFF7C80"/>
          <bgColor rgb="FFFFDCDC"/>
        </patternFill>
      </fill>
    </dxf>
    <dxf>
      <fill>
        <patternFill patternType="gray0625">
          <fgColor theme="7" tint="-0.24994659260841701"/>
          <bgColor theme="7" tint="0.59996337778862885"/>
        </patternFill>
      </fill>
    </dxf>
    <dxf>
      <fill>
        <patternFill patternType="gray0625">
          <fgColor theme="7" tint="-0.24994659260841701"/>
          <bgColor theme="7" tint="0.59996337778862885"/>
        </patternFill>
      </fill>
    </dxf>
    <dxf>
      <fill>
        <patternFill>
          <bgColor rgb="FFBDD7EE"/>
        </patternFill>
      </fill>
    </dxf>
    <dxf>
      <fill>
        <patternFill patternType="gray0625">
          <fgColor rgb="FFFF7C80"/>
          <bgColor rgb="FFFFDCDC"/>
        </patternFill>
      </fill>
    </dxf>
  </dxfs>
  <tableStyles count="0" defaultTableStyle="TableStyleMedium2" defaultPivotStyle="PivotStyleLight16"/>
  <colors>
    <mruColors>
      <color rgb="FFFF7C80"/>
      <color rgb="FFFF9999"/>
      <color rgb="FFFFB9B9"/>
      <color rgb="FFFFC9C9"/>
      <color rgb="FFFFDCDC"/>
      <color rgb="FFFFD1D1"/>
      <color rgb="FFFFE699"/>
      <color rgb="FFBDD7EE"/>
      <color rgb="FFD3E6F5"/>
      <color rgb="FFFF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mailto:bkcsport@st.ritsumei.ac.jp?subject=&#9679;&#9679;&#37096;&#12288;&#12295;&#26376;&#12473;&#12465;&#12472;&#12517;&#12540;&#12523;&#25552;&#20986;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323850</xdr:colOff>
      <xdr:row>25</xdr:row>
      <xdr:rowOff>85725</xdr:rowOff>
    </xdr:from>
    <xdr:to>
      <xdr:col>15</xdr:col>
      <xdr:colOff>133350</xdr:colOff>
      <xdr:row>28</xdr:row>
      <xdr:rowOff>114300</xdr:rowOff>
    </xdr:to>
    <xdr:sp macro="" textlink="">
      <xdr:nvSpPr>
        <xdr:cNvPr id="17" name="正方形/長方形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305300" y="5153025"/>
          <a:ext cx="1952625" cy="6286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285750</xdr:colOff>
      <xdr:row>44</xdr:row>
      <xdr:rowOff>104775</xdr:rowOff>
    </xdr:from>
    <xdr:to>
      <xdr:col>15</xdr:col>
      <xdr:colOff>95250</xdr:colOff>
      <xdr:row>47</xdr:row>
      <xdr:rowOff>133350</xdr:rowOff>
    </xdr:to>
    <xdr:sp macro="" textlink="">
      <xdr:nvSpPr>
        <xdr:cNvPr id="20" name="正方形/長方形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267200" y="8972550"/>
          <a:ext cx="1952625" cy="6286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3</xdr:col>
      <xdr:colOff>0</xdr:colOff>
      <xdr:row>79</xdr:row>
      <xdr:rowOff>152401</xdr:rowOff>
    </xdr:from>
    <xdr:to>
      <xdr:col>15</xdr:col>
      <xdr:colOff>101071</xdr:colOff>
      <xdr:row>90</xdr:row>
      <xdr:rowOff>71745</xdr:rowOff>
    </xdr:to>
    <xdr:pic>
      <xdr:nvPicPr>
        <xdr:cNvPr id="21" name="図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15878176"/>
          <a:ext cx="5244571" cy="2119619"/>
        </a:xfrm>
        <a:prstGeom prst="rect">
          <a:avLst/>
        </a:prstGeom>
      </xdr:spPr>
    </xdr:pic>
    <xdr:clientData/>
  </xdr:twoCellAnchor>
  <xdr:twoCellAnchor>
    <xdr:from>
      <xdr:col>9</xdr:col>
      <xdr:colOff>114300</xdr:colOff>
      <xdr:row>83</xdr:row>
      <xdr:rowOff>171450</xdr:rowOff>
    </xdr:from>
    <xdr:to>
      <xdr:col>10</xdr:col>
      <xdr:colOff>114300</xdr:colOff>
      <xdr:row>85</xdr:row>
      <xdr:rowOff>76200</xdr:rowOff>
    </xdr:to>
    <xdr:sp macro="" textlink="">
      <xdr:nvSpPr>
        <xdr:cNvPr id="22" name="吹き出し: 角を丸めた四角形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3667125" y="16697325"/>
          <a:ext cx="428625" cy="304800"/>
        </a:xfrm>
        <a:prstGeom prst="wedgeRoundRectCallout">
          <a:avLst>
            <a:gd name="adj1" fmla="val -35219"/>
            <a:gd name="adj2" fmla="val 63636"/>
            <a:gd name="adj3" fmla="val 16667"/>
          </a:avLst>
        </a:prstGeom>
        <a:solidFill>
          <a:schemeClr val="bg1"/>
        </a:solidFill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kumimoji="1" lang="en-US" altLang="ja-JP" sz="12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(5)</a:t>
          </a:r>
          <a:endParaRPr kumimoji="1" lang="ja-JP" altLang="en-US" sz="1200">
            <a:solidFill>
              <a:sysClr val="windowText" lastClr="00000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6</xdr:col>
      <xdr:colOff>76199</xdr:colOff>
      <xdr:row>78</xdr:row>
      <xdr:rowOff>133350</xdr:rowOff>
    </xdr:from>
    <xdr:to>
      <xdr:col>7</xdr:col>
      <xdr:colOff>95249</xdr:colOff>
      <xdr:row>80</xdr:row>
      <xdr:rowOff>66675</xdr:rowOff>
    </xdr:to>
    <xdr:sp macro="" textlink="">
      <xdr:nvSpPr>
        <xdr:cNvPr id="23" name="四角形: 角を丸くする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2343149" y="15659100"/>
          <a:ext cx="447675" cy="333375"/>
        </a:xfrm>
        <a:prstGeom prst="roundRect">
          <a:avLst/>
        </a:prstGeom>
        <a:solidFill>
          <a:schemeClr val="bg1"/>
        </a:solidFill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kumimoji="1" lang="en-US" altLang="ja-JP" sz="11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(1)</a:t>
          </a:r>
          <a:endParaRPr kumimoji="1" lang="ja-JP" altLang="en-US" sz="1100">
            <a:solidFill>
              <a:sysClr val="windowText" lastClr="00000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6</xdr:col>
      <xdr:colOff>276225</xdr:colOff>
      <xdr:row>80</xdr:row>
      <xdr:rowOff>66675</xdr:rowOff>
    </xdr:from>
    <xdr:to>
      <xdr:col>6</xdr:col>
      <xdr:colOff>300037</xdr:colOff>
      <xdr:row>82</xdr:row>
      <xdr:rowOff>28575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>
          <a:stCxn id="23" idx="2"/>
        </xdr:cNvCxnSpPr>
      </xdr:nvCxnSpPr>
      <xdr:spPr>
        <a:xfrm flipH="1">
          <a:off x="2543175" y="15992475"/>
          <a:ext cx="23812" cy="361950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190500</xdr:colOff>
      <xdr:row>79</xdr:row>
      <xdr:rowOff>100013</xdr:rowOff>
    </xdr:from>
    <xdr:to>
      <xdr:col>6</xdr:col>
      <xdr:colOff>76199</xdr:colOff>
      <xdr:row>80</xdr:row>
      <xdr:rowOff>95250</xdr:rowOff>
    </xdr:to>
    <xdr:cxnSp macro="">
      <xdr:nvCxnSpPr>
        <xdr:cNvPr id="26" name="直線コネクタ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>
          <a:stCxn id="23" idx="1"/>
        </xdr:cNvCxnSpPr>
      </xdr:nvCxnSpPr>
      <xdr:spPr>
        <a:xfrm flipH="1">
          <a:off x="2028825" y="15825788"/>
          <a:ext cx="314324" cy="195262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95249</xdr:colOff>
      <xdr:row>79</xdr:row>
      <xdr:rowOff>100013</xdr:rowOff>
    </xdr:from>
    <xdr:to>
      <xdr:col>10</xdr:col>
      <xdr:colOff>314325</xdr:colOff>
      <xdr:row>82</xdr:row>
      <xdr:rowOff>38100</xdr:rowOff>
    </xdr:to>
    <xdr:cxnSp macro="">
      <xdr:nvCxnSpPr>
        <xdr:cNvPr id="29" name="直線コネクタ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>
          <a:stCxn id="23" idx="3"/>
        </xdr:cNvCxnSpPr>
      </xdr:nvCxnSpPr>
      <xdr:spPr>
        <a:xfrm>
          <a:off x="2790824" y="15825788"/>
          <a:ext cx="1504951" cy="538162"/>
        </a:xfrm>
        <a:prstGeom prst="line">
          <a:avLst/>
        </a:prstGeom>
        <a:ln w="158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114300</xdr:colOff>
      <xdr:row>83</xdr:row>
      <xdr:rowOff>190500</xdr:rowOff>
    </xdr:from>
    <xdr:to>
      <xdr:col>5</xdr:col>
      <xdr:colOff>114300</xdr:colOff>
      <xdr:row>85</xdr:row>
      <xdr:rowOff>95250</xdr:rowOff>
    </xdr:to>
    <xdr:sp macro="" textlink="">
      <xdr:nvSpPr>
        <xdr:cNvPr id="45" name="吹き出し: 角を丸めた四角形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1524000" y="16716375"/>
          <a:ext cx="428625" cy="304800"/>
        </a:xfrm>
        <a:prstGeom prst="wedgeRoundRectCallout">
          <a:avLst>
            <a:gd name="adj1" fmla="val 33670"/>
            <a:gd name="adj2" fmla="val 76136"/>
            <a:gd name="adj3" fmla="val 16667"/>
          </a:avLst>
        </a:prstGeom>
        <a:solidFill>
          <a:schemeClr val="bg1"/>
        </a:solidFill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kumimoji="1" lang="en-US" altLang="ja-JP" sz="12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(2)</a:t>
          </a:r>
          <a:endParaRPr kumimoji="1" lang="ja-JP" altLang="en-US" sz="1200">
            <a:solidFill>
              <a:sysClr val="windowText" lastClr="00000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6</xdr:col>
      <xdr:colOff>0</xdr:colOff>
      <xdr:row>83</xdr:row>
      <xdr:rowOff>190500</xdr:rowOff>
    </xdr:from>
    <xdr:to>
      <xdr:col>7</xdr:col>
      <xdr:colOff>0</xdr:colOff>
      <xdr:row>85</xdr:row>
      <xdr:rowOff>95250</xdr:rowOff>
    </xdr:to>
    <xdr:sp macro="" textlink="">
      <xdr:nvSpPr>
        <xdr:cNvPr id="46" name="吹き出し: 角を丸めた四角形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>
          <a:off x="2266950" y="16716375"/>
          <a:ext cx="428625" cy="304800"/>
        </a:xfrm>
        <a:prstGeom prst="wedgeRoundRectCallout">
          <a:avLst>
            <a:gd name="adj1" fmla="val -32997"/>
            <a:gd name="adj2" fmla="val 85511"/>
            <a:gd name="adj3" fmla="val 16667"/>
          </a:avLst>
        </a:prstGeom>
        <a:solidFill>
          <a:schemeClr val="bg1"/>
        </a:solidFill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kumimoji="1" lang="en-US" altLang="ja-JP" sz="12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(3)</a:t>
          </a:r>
          <a:endParaRPr kumimoji="1" lang="ja-JP" altLang="en-US" sz="1200">
            <a:solidFill>
              <a:sysClr val="windowText" lastClr="00000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7</xdr:col>
      <xdr:colOff>66675</xdr:colOff>
      <xdr:row>83</xdr:row>
      <xdr:rowOff>190500</xdr:rowOff>
    </xdr:from>
    <xdr:to>
      <xdr:col>8</xdr:col>
      <xdr:colOff>66675</xdr:colOff>
      <xdr:row>85</xdr:row>
      <xdr:rowOff>95250</xdr:rowOff>
    </xdr:to>
    <xdr:sp macro="" textlink="">
      <xdr:nvSpPr>
        <xdr:cNvPr id="47" name="吹き出し: 角を丸めた四角形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2762250" y="16716375"/>
          <a:ext cx="428625" cy="304800"/>
        </a:xfrm>
        <a:prstGeom prst="wedgeRoundRectCallout">
          <a:avLst>
            <a:gd name="adj1" fmla="val 24781"/>
            <a:gd name="adj2" fmla="val 63636"/>
            <a:gd name="adj3" fmla="val 16667"/>
          </a:avLst>
        </a:prstGeom>
        <a:solidFill>
          <a:schemeClr val="bg1"/>
        </a:solidFill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kumimoji="1" lang="en-US" altLang="ja-JP" sz="12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(4)</a:t>
          </a:r>
          <a:endParaRPr kumimoji="1" lang="ja-JP" altLang="en-US" sz="1200">
            <a:solidFill>
              <a:sysClr val="windowText" lastClr="00000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8</xdr:col>
      <xdr:colOff>47625</xdr:colOff>
      <xdr:row>81</xdr:row>
      <xdr:rowOff>152400</xdr:rowOff>
    </xdr:from>
    <xdr:to>
      <xdr:col>9</xdr:col>
      <xdr:colOff>47625</xdr:colOff>
      <xdr:row>83</xdr:row>
      <xdr:rowOff>57150</xdr:rowOff>
    </xdr:to>
    <xdr:sp macro="" textlink="">
      <xdr:nvSpPr>
        <xdr:cNvPr id="48" name="吹き出し: 角を丸めた四角形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3171825" y="16278225"/>
          <a:ext cx="428625" cy="304800"/>
        </a:xfrm>
        <a:prstGeom prst="wedgeRoundRectCallout">
          <a:avLst>
            <a:gd name="adj1" fmla="val -26330"/>
            <a:gd name="adj2" fmla="val -73864"/>
            <a:gd name="adj3" fmla="val 16667"/>
          </a:avLst>
        </a:prstGeom>
        <a:solidFill>
          <a:schemeClr val="bg1"/>
        </a:solidFill>
        <a:ln w="158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ctr"/>
        <a:lstStyle/>
        <a:p>
          <a:pPr algn="ctr"/>
          <a:r>
            <a:rPr kumimoji="1" lang="en-US" altLang="ja-JP" sz="12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(6)</a:t>
          </a:r>
          <a:endParaRPr kumimoji="1" lang="ja-JP" altLang="en-US" sz="1200">
            <a:solidFill>
              <a:sysClr val="windowText" lastClr="000000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 editAs="oneCell">
    <xdr:from>
      <xdr:col>2</xdr:col>
      <xdr:colOff>152400</xdr:colOff>
      <xdr:row>9</xdr:row>
      <xdr:rowOff>69850</xdr:rowOff>
    </xdr:from>
    <xdr:to>
      <xdr:col>10</xdr:col>
      <xdr:colOff>203200</xdr:colOff>
      <xdr:row>16</xdr:row>
      <xdr:rowOff>6181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1873250"/>
          <a:ext cx="3505200" cy="1269831"/>
        </a:xfrm>
        <a:prstGeom prst="rect">
          <a:avLst/>
        </a:prstGeom>
      </xdr:spPr>
    </xdr:pic>
    <xdr:clientData/>
  </xdr:twoCellAnchor>
  <xdr:twoCellAnchor>
    <xdr:from>
      <xdr:col>2</xdr:col>
      <xdr:colOff>92075</xdr:colOff>
      <xdr:row>20</xdr:row>
      <xdr:rowOff>107950</xdr:rowOff>
    </xdr:from>
    <xdr:to>
      <xdr:col>11</xdr:col>
      <xdr:colOff>63500</xdr:colOff>
      <xdr:row>38</xdr:row>
      <xdr:rowOff>3175</xdr:rowOff>
    </xdr:to>
    <xdr:grpSp>
      <xdr:nvGrpSpPr>
        <xdr:cNvPr id="36" name="グループ化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638175" y="4006850"/>
          <a:ext cx="3800475" cy="3324225"/>
          <a:chOff x="752475" y="4013200"/>
          <a:chExt cx="3857625" cy="3324225"/>
        </a:xfrm>
      </xdr:grpSpPr>
      <xdr:pic>
        <xdr:nvPicPr>
          <xdr:cNvPr id="37" name="図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933450" y="4248151"/>
            <a:ext cx="3168650" cy="1429798"/>
          </a:xfrm>
          <a:prstGeom prst="rect">
            <a:avLst/>
          </a:prstGeom>
        </xdr:spPr>
      </xdr:pic>
      <xdr:pic>
        <xdr:nvPicPr>
          <xdr:cNvPr id="38" name="図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485901" y="5600702"/>
            <a:ext cx="3124199" cy="1453272"/>
          </a:xfrm>
          <a:prstGeom prst="rect">
            <a:avLst/>
          </a:prstGeom>
        </xdr:spPr>
      </xdr:pic>
      <xdr:sp macro="" textlink="">
        <xdr:nvSpPr>
          <xdr:cNvPr id="39" name="吹き出し: 角を丸めた四角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752475" y="5537200"/>
            <a:ext cx="488950" cy="361950"/>
          </a:xfrm>
          <a:prstGeom prst="wedgeRoundRectCallout">
            <a:avLst>
              <a:gd name="adj1" fmla="val 31709"/>
              <a:gd name="adj2" fmla="val -73864"/>
              <a:gd name="adj3" fmla="val 16667"/>
            </a:avLst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kumimoji="1" lang="en-US" altLang="ja-JP" sz="1400">
                <a:latin typeface="Meiryo UI" panose="020B0604030504040204" pitchFamily="50" charset="-128"/>
                <a:ea typeface="Meiryo UI" panose="020B0604030504040204" pitchFamily="50" charset="-128"/>
              </a:rPr>
              <a:t>(1)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吹き出し: 角を丸めた四角形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1739900" y="4013200"/>
            <a:ext cx="488950" cy="361950"/>
          </a:xfrm>
          <a:prstGeom prst="wedgeRoundRectCallout">
            <a:avLst>
              <a:gd name="adj1" fmla="val -25154"/>
              <a:gd name="adj2" fmla="val 73636"/>
              <a:gd name="adj3" fmla="val 16667"/>
            </a:avLst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kumimoji="1" lang="en-US" altLang="ja-JP" sz="1400">
                <a:latin typeface="Meiryo UI" panose="020B0604030504040204" pitchFamily="50" charset="-128"/>
                <a:ea typeface="Meiryo UI" panose="020B0604030504040204" pitchFamily="50" charset="-128"/>
              </a:rPr>
              <a:t>(2)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1" name="吹き出し: 角を丸めた四角形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809625" y="6461126"/>
            <a:ext cx="758825" cy="552449"/>
          </a:xfrm>
          <a:prstGeom prst="wedgeRoundRectCallout">
            <a:avLst>
              <a:gd name="adj1" fmla="val 72488"/>
              <a:gd name="adj2" fmla="val 31328"/>
              <a:gd name="adj3" fmla="val 16667"/>
            </a:avLst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行コピー</a:t>
            </a:r>
            <a:endParaRPr kumimoji="1" lang="en-US" altLang="ja-JP" sz="1200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される</a:t>
            </a:r>
          </a:p>
        </xdr:txBody>
      </xdr:sp>
      <xdr:sp macro="" textlink="">
        <xdr:nvSpPr>
          <xdr:cNvPr id="42" name="矢印: 下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/>
        </xdr:nvSpPr>
        <xdr:spPr>
          <a:xfrm rot="19954551">
            <a:off x="2124075" y="5470525"/>
            <a:ext cx="749300" cy="352425"/>
          </a:xfrm>
          <a:prstGeom prst="downArrow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sp macro="" textlink="">
        <xdr:nvSpPr>
          <xdr:cNvPr id="43" name="吹き出し: 角を丸めた四角形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/>
        </xdr:nvSpPr>
        <xdr:spPr>
          <a:xfrm>
            <a:off x="2257425" y="7061200"/>
            <a:ext cx="1768475" cy="276225"/>
          </a:xfrm>
          <a:prstGeom prst="wedgeRoundRectCallout">
            <a:avLst>
              <a:gd name="adj1" fmla="val -21826"/>
              <a:gd name="adj2" fmla="val -71364"/>
              <a:gd name="adj3" fmla="val 16667"/>
            </a:avLst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追加する予定へ書き換える</a:t>
            </a:r>
          </a:p>
        </xdr:txBody>
      </xdr:sp>
    </xdr:grpSp>
    <xdr:clientData/>
  </xdr:twoCellAnchor>
  <xdr:twoCellAnchor>
    <xdr:from>
      <xdr:col>2</xdr:col>
      <xdr:colOff>60325</xdr:colOff>
      <xdr:row>40</xdr:row>
      <xdr:rowOff>114301</xdr:rowOff>
    </xdr:from>
    <xdr:to>
      <xdr:col>10</xdr:col>
      <xdr:colOff>44450</xdr:colOff>
      <xdr:row>48</xdr:row>
      <xdr:rowOff>90834</xdr:rowOff>
    </xdr:to>
    <xdr:grpSp>
      <xdr:nvGrpSpPr>
        <xdr:cNvPr id="44" name="グループ化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606425" y="7823201"/>
          <a:ext cx="3387725" cy="1500533"/>
          <a:chOff x="396875" y="7721601"/>
          <a:chExt cx="3438525" cy="1500533"/>
        </a:xfrm>
      </xdr:grpSpPr>
      <xdr:pic>
        <xdr:nvPicPr>
          <xdr:cNvPr id="49" name="図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609600" y="7721601"/>
            <a:ext cx="3225800" cy="1500533"/>
          </a:xfrm>
          <a:prstGeom prst="rect">
            <a:avLst/>
          </a:prstGeom>
        </xdr:spPr>
      </xdr:pic>
      <xdr:sp macro="" textlink="">
        <xdr:nvSpPr>
          <xdr:cNvPr id="50" name="吹き出し: 角を丸めた四角形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SpPr/>
        </xdr:nvSpPr>
        <xdr:spPr>
          <a:xfrm>
            <a:off x="396875" y="8632825"/>
            <a:ext cx="488950" cy="361950"/>
          </a:xfrm>
          <a:prstGeom prst="wedgeRoundRectCallout">
            <a:avLst>
              <a:gd name="adj1" fmla="val 33670"/>
              <a:gd name="adj2" fmla="val 76136"/>
              <a:gd name="adj3" fmla="val 16667"/>
            </a:avLst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kumimoji="1" lang="en-US" altLang="ja-JP" sz="1400">
                <a:latin typeface="Meiryo UI" panose="020B0604030504040204" pitchFamily="50" charset="-128"/>
                <a:ea typeface="Meiryo UI" panose="020B0604030504040204" pitchFamily="50" charset="-128"/>
              </a:rPr>
              <a:t>(1)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51" name="吹き出し: 角を丸めた四角形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1962150" y="8289925"/>
            <a:ext cx="488950" cy="371475"/>
          </a:xfrm>
          <a:prstGeom prst="wedgeRoundRectCallout">
            <a:avLst>
              <a:gd name="adj1" fmla="val -29075"/>
              <a:gd name="adj2" fmla="val -83864"/>
              <a:gd name="adj3" fmla="val 16667"/>
            </a:avLst>
          </a:prstGeom>
          <a:solidFill>
            <a:schemeClr val="tx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36000" tIns="36000" rIns="36000" bIns="36000" rtlCol="0" anchor="ctr"/>
          <a:lstStyle/>
          <a:p>
            <a:pPr algn="ctr"/>
            <a:r>
              <a:rPr kumimoji="1" lang="en-US" altLang="ja-JP" sz="1400">
                <a:latin typeface="Meiryo UI" panose="020B0604030504040204" pitchFamily="50" charset="-128"/>
                <a:ea typeface="Meiryo UI" panose="020B0604030504040204" pitchFamily="50" charset="-128"/>
              </a:rPr>
              <a:t>(2)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44450</xdr:colOff>
      <xdr:row>25</xdr:row>
      <xdr:rowOff>114300</xdr:rowOff>
    </xdr:from>
    <xdr:to>
      <xdr:col>9</xdr:col>
      <xdr:colOff>90169</xdr:colOff>
      <xdr:row>26</xdr:row>
      <xdr:rowOff>101600</xdr:rowOff>
    </xdr:to>
    <xdr:sp macro="" textlink="">
      <xdr:nvSpPr>
        <xdr:cNvPr id="2" name="右大かっこ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619500" y="4889500"/>
          <a:ext cx="45719" cy="215900"/>
        </a:xfrm>
        <a:prstGeom prst="rightBracket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203200</xdr:rowOff>
        </xdr:from>
        <xdr:to>
          <xdr:col>4</xdr:col>
          <xdr:colOff>895350</xdr:colOff>
          <xdr:row>6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日付行の複写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203200</xdr:rowOff>
        </xdr:from>
        <xdr:to>
          <xdr:col>5</xdr:col>
          <xdr:colOff>946150</xdr:colOff>
          <xdr:row>6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日付行の削除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887506</xdr:colOff>
      <xdr:row>0</xdr:row>
      <xdr:rowOff>41462</xdr:rowOff>
    </xdr:from>
    <xdr:to>
      <xdr:col>10</xdr:col>
      <xdr:colOff>233047</xdr:colOff>
      <xdr:row>1</xdr:row>
      <xdr:rowOff>54804</xdr:rowOff>
    </xdr:to>
    <xdr:sp macro="" textlink="">
      <xdr:nvSpPr>
        <xdr:cNvPr id="4" name="四角形: 角度付き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309035" y="41462"/>
          <a:ext cx="3170483" cy="356989"/>
        </a:xfrm>
        <a:prstGeom prst="bevel">
          <a:avLst>
            <a:gd name="adj" fmla="val 8418"/>
          </a:avLst>
        </a:prstGeom>
        <a:solidFill>
          <a:schemeClr val="bg1">
            <a:lumMod val="85000"/>
          </a:scheme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C4BD8"/>
              </a:solidFill>
              <a:effectLst/>
              <a:uLnTx/>
              <a:uFillTx/>
              <a:latin typeface="+mn-lt"/>
              <a:ea typeface="+mn-ea"/>
              <a:cs typeface="+mn-cs"/>
            </a:rPr>
            <a:t>提出先：</a:t>
          </a:r>
          <a:r>
            <a:rPr kumimoji="0" lang="en-US" altLang="ja-JP" sz="1400" b="1" i="0" u="sng" strike="noStrike" kern="0" cap="none" spc="0" normalizeH="0" baseline="0" noProof="0">
              <a:ln>
                <a:noFill/>
              </a:ln>
              <a:solidFill>
                <a:srgbClr val="0C4BD8"/>
              </a:solidFill>
              <a:effectLst/>
              <a:uLnTx/>
              <a:uFillTx/>
              <a:latin typeface="+mn-lt"/>
              <a:ea typeface="+mn-ea"/>
              <a:cs typeface="+mn-cs"/>
            </a:rPr>
            <a:t>bkcsport@st.ritsumei.ac.jp</a:t>
          </a:r>
          <a:endParaRPr kumimoji="0" lang="ja-JP" altLang="ja-JP" sz="1400" b="1" i="0" u="sng" strike="noStrike" kern="0" cap="none" spc="0" normalizeH="0" baseline="0" noProof="0">
            <a:ln>
              <a:noFill/>
            </a:ln>
            <a:solidFill>
              <a:srgbClr val="0C4BD8"/>
            </a:solidFill>
            <a:effectLst/>
            <a:uLnTx/>
            <a:uFillTx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217715</xdr:colOff>
      <xdr:row>54</xdr:row>
      <xdr:rowOff>199571</xdr:rowOff>
    </xdr:from>
    <xdr:to>
      <xdr:col>18</xdr:col>
      <xdr:colOff>444501</xdr:colOff>
      <xdr:row>56</xdr:row>
      <xdr:rowOff>154214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 rot="5400000">
          <a:off x="13915572" y="10722428"/>
          <a:ext cx="408214" cy="2267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TriR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E5D52-F40F-4E1D-B0B8-A3672DFC6A3E}">
  <sheetPr codeName="Sheet2">
    <tabColor rgb="FFFF0000"/>
    <pageSetUpPr fitToPage="1"/>
  </sheetPr>
  <dimension ref="B2:P98"/>
  <sheetViews>
    <sheetView showGridLines="0" view="pageBreakPreview" zoomScaleNormal="100" zoomScaleSheetLayoutView="100" workbookViewId="0">
      <selection activeCell="P51" sqref="P51"/>
    </sheetView>
  </sheetViews>
  <sheetFormatPr defaultColWidth="9" defaultRowHeight="15" x14ac:dyDescent="0.55000000000000004"/>
  <cols>
    <col min="1" max="1" width="1.58203125" style="38" customWidth="1"/>
    <col min="2" max="3" width="5.58203125" style="38" customWidth="1"/>
    <col min="4" max="4" width="5.58203125" style="45" customWidth="1"/>
    <col min="5" max="16" width="5.58203125" style="38" customWidth="1"/>
    <col min="17" max="17" width="1.58203125" style="38" customWidth="1"/>
    <col min="18" max="16384" width="9" style="38"/>
  </cols>
  <sheetData>
    <row r="2" spans="2:16" x14ac:dyDescent="0.55000000000000004">
      <c r="B2" s="98" t="s">
        <v>330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100"/>
    </row>
    <row r="3" spans="2:16" ht="22" x14ac:dyDescent="0.55000000000000004">
      <c r="B3" s="101" t="s">
        <v>342</v>
      </c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3"/>
    </row>
    <row r="4" spans="2:16" x14ac:dyDescent="0.55000000000000004">
      <c r="B4" s="39"/>
      <c r="P4" s="40"/>
    </row>
    <row r="5" spans="2:16" x14ac:dyDescent="0.55000000000000004">
      <c r="B5" s="39"/>
      <c r="C5" s="38" t="s">
        <v>341</v>
      </c>
      <c r="P5" s="40"/>
    </row>
    <row r="6" spans="2:16" x14ac:dyDescent="0.55000000000000004">
      <c r="B6" s="39"/>
      <c r="P6" s="40"/>
    </row>
    <row r="7" spans="2:16" x14ac:dyDescent="0.55000000000000004">
      <c r="B7" s="39"/>
      <c r="C7" s="38" t="s">
        <v>343</v>
      </c>
      <c r="P7" s="40"/>
    </row>
    <row r="8" spans="2:16" x14ac:dyDescent="0.55000000000000004">
      <c r="B8" s="39"/>
      <c r="P8" s="40"/>
    </row>
    <row r="9" spans="2:16" x14ac:dyDescent="0.55000000000000004">
      <c r="B9" s="39"/>
      <c r="C9" s="38" t="s">
        <v>344</v>
      </c>
      <c r="P9" s="40"/>
    </row>
    <row r="10" spans="2:16" x14ac:dyDescent="0.55000000000000004">
      <c r="B10" s="39"/>
      <c r="P10" s="40"/>
    </row>
    <row r="11" spans="2:16" x14ac:dyDescent="0.55000000000000004">
      <c r="B11" s="39"/>
      <c r="P11" s="40"/>
    </row>
    <row r="12" spans="2:16" x14ac:dyDescent="0.55000000000000004">
      <c r="B12" s="39"/>
      <c r="P12" s="40"/>
    </row>
    <row r="13" spans="2:16" x14ac:dyDescent="0.55000000000000004">
      <c r="B13" s="39"/>
      <c r="P13" s="40"/>
    </row>
    <row r="14" spans="2:16" x14ac:dyDescent="0.55000000000000004">
      <c r="B14" s="39"/>
      <c r="P14" s="40"/>
    </row>
    <row r="15" spans="2:16" x14ac:dyDescent="0.55000000000000004">
      <c r="B15" s="39"/>
      <c r="P15" s="40"/>
    </row>
    <row r="16" spans="2:16" x14ac:dyDescent="0.55000000000000004">
      <c r="B16" s="39"/>
      <c r="P16" s="40"/>
    </row>
    <row r="17" spans="2:16" x14ac:dyDescent="0.55000000000000004">
      <c r="B17" s="39"/>
      <c r="P17" s="40"/>
    </row>
    <row r="18" spans="2:16" x14ac:dyDescent="0.55000000000000004">
      <c r="B18" s="39"/>
      <c r="C18" s="38" t="s">
        <v>345</v>
      </c>
      <c r="P18" s="40"/>
    </row>
    <row r="19" spans="2:16" x14ac:dyDescent="0.55000000000000004">
      <c r="B19" s="39"/>
      <c r="P19" s="40"/>
    </row>
    <row r="20" spans="2:16" x14ac:dyDescent="0.55000000000000004">
      <c r="B20" s="39"/>
      <c r="C20" s="38" t="s">
        <v>346</v>
      </c>
      <c r="P20" s="40"/>
    </row>
    <row r="21" spans="2:16" x14ac:dyDescent="0.55000000000000004">
      <c r="B21" s="39"/>
      <c r="P21" s="40"/>
    </row>
    <row r="22" spans="2:16" x14ac:dyDescent="0.55000000000000004">
      <c r="B22" s="39"/>
      <c r="L22" s="38" t="s">
        <v>347</v>
      </c>
      <c r="P22" s="40"/>
    </row>
    <row r="23" spans="2:16" x14ac:dyDescent="0.55000000000000004">
      <c r="B23" s="39"/>
      <c r="L23" s="38" t="s">
        <v>348</v>
      </c>
      <c r="P23" s="40"/>
    </row>
    <row r="24" spans="2:16" x14ac:dyDescent="0.55000000000000004">
      <c r="B24" s="39"/>
      <c r="P24" s="40"/>
    </row>
    <row r="25" spans="2:16" x14ac:dyDescent="0.55000000000000004">
      <c r="B25" s="39"/>
      <c r="L25" s="38" t="s">
        <v>349</v>
      </c>
      <c r="P25" s="40"/>
    </row>
    <row r="26" spans="2:16" x14ac:dyDescent="0.55000000000000004">
      <c r="B26" s="39"/>
      <c r="P26" s="40"/>
    </row>
    <row r="27" spans="2:16" x14ac:dyDescent="0.55000000000000004">
      <c r="B27" s="39"/>
      <c r="L27" s="46" t="s">
        <v>350</v>
      </c>
      <c r="M27" s="38" t="s">
        <v>351</v>
      </c>
      <c r="P27" s="40"/>
    </row>
    <row r="28" spans="2:16" x14ac:dyDescent="0.55000000000000004">
      <c r="B28" s="39"/>
      <c r="L28" s="46" t="s">
        <v>352</v>
      </c>
      <c r="M28" s="38" t="s">
        <v>353</v>
      </c>
      <c r="P28" s="40"/>
    </row>
    <row r="29" spans="2:16" x14ac:dyDescent="0.55000000000000004">
      <c r="B29" s="39"/>
      <c r="P29" s="40"/>
    </row>
    <row r="30" spans="2:16" x14ac:dyDescent="0.55000000000000004">
      <c r="B30" s="39"/>
      <c r="P30" s="40"/>
    </row>
    <row r="31" spans="2:16" x14ac:dyDescent="0.55000000000000004">
      <c r="B31" s="39"/>
      <c r="M31" s="38" t="s">
        <v>354</v>
      </c>
      <c r="P31" s="40"/>
    </row>
    <row r="32" spans="2:16" x14ac:dyDescent="0.55000000000000004">
      <c r="B32" s="39"/>
      <c r="M32" s="38" t="s">
        <v>355</v>
      </c>
      <c r="P32" s="40"/>
    </row>
    <row r="33" spans="2:16" x14ac:dyDescent="0.55000000000000004">
      <c r="B33" s="39"/>
      <c r="M33" s="38" t="s">
        <v>356</v>
      </c>
      <c r="P33" s="40"/>
    </row>
    <row r="34" spans="2:16" x14ac:dyDescent="0.55000000000000004">
      <c r="B34" s="39"/>
      <c r="M34" s="38" t="s">
        <v>357</v>
      </c>
      <c r="P34" s="40"/>
    </row>
    <row r="35" spans="2:16" x14ac:dyDescent="0.55000000000000004">
      <c r="B35" s="39"/>
      <c r="P35" s="40"/>
    </row>
    <row r="36" spans="2:16" x14ac:dyDescent="0.55000000000000004">
      <c r="B36" s="39"/>
      <c r="M36" s="38" t="s">
        <v>358</v>
      </c>
      <c r="P36" s="40"/>
    </row>
    <row r="37" spans="2:16" x14ac:dyDescent="0.55000000000000004">
      <c r="B37" s="39"/>
      <c r="M37" s="38" t="s">
        <v>359</v>
      </c>
      <c r="P37" s="40"/>
    </row>
    <row r="38" spans="2:16" x14ac:dyDescent="0.55000000000000004">
      <c r="B38" s="39"/>
      <c r="P38" s="40"/>
    </row>
    <row r="39" spans="2:16" x14ac:dyDescent="0.55000000000000004">
      <c r="B39" s="39"/>
      <c r="P39" s="40"/>
    </row>
    <row r="40" spans="2:16" x14ac:dyDescent="0.55000000000000004">
      <c r="B40" s="39"/>
      <c r="C40" s="38" t="s">
        <v>360</v>
      </c>
      <c r="P40" s="40"/>
    </row>
    <row r="41" spans="2:16" x14ac:dyDescent="0.55000000000000004">
      <c r="B41" s="39"/>
      <c r="L41" s="38" t="s">
        <v>347</v>
      </c>
      <c r="P41" s="40"/>
    </row>
    <row r="42" spans="2:16" x14ac:dyDescent="0.55000000000000004">
      <c r="B42" s="39"/>
      <c r="L42" s="38" t="s">
        <v>361</v>
      </c>
      <c r="P42" s="40"/>
    </row>
    <row r="43" spans="2:16" x14ac:dyDescent="0.55000000000000004">
      <c r="B43" s="39"/>
      <c r="P43" s="40"/>
    </row>
    <row r="44" spans="2:16" x14ac:dyDescent="0.55000000000000004">
      <c r="B44" s="39"/>
      <c r="L44" s="38" t="s">
        <v>362</v>
      </c>
      <c r="P44" s="40"/>
    </row>
    <row r="45" spans="2:16" x14ac:dyDescent="0.55000000000000004">
      <c r="B45" s="39"/>
      <c r="P45" s="40"/>
    </row>
    <row r="46" spans="2:16" x14ac:dyDescent="0.55000000000000004">
      <c r="B46" s="39"/>
      <c r="L46" s="46" t="s">
        <v>350</v>
      </c>
      <c r="M46" s="38" t="s">
        <v>351</v>
      </c>
      <c r="P46" s="40"/>
    </row>
    <row r="47" spans="2:16" x14ac:dyDescent="0.55000000000000004">
      <c r="B47" s="39"/>
      <c r="L47" s="46" t="s">
        <v>352</v>
      </c>
      <c r="M47" s="38" t="s">
        <v>363</v>
      </c>
      <c r="P47" s="40"/>
    </row>
    <row r="48" spans="2:16" x14ac:dyDescent="0.55000000000000004">
      <c r="B48" s="39"/>
      <c r="P48" s="40"/>
    </row>
    <row r="49" spans="2:16" x14ac:dyDescent="0.55000000000000004">
      <c r="B49" s="41"/>
      <c r="C49" s="42"/>
      <c r="D49" s="44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3"/>
    </row>
    <row r="52" spans="2:16" x14ac:dyDescent="0.55000000000000004">
      <c r="B52" s="98" t="s">
        <v>330</v>
      </c>
      <c r="C52" s="99"/>
      <c r="D52" s="99"/>
      <c r="E52" s="99"/>
      <c r="F52" s="99"/>
      <c r="G52" s="99"/>
      <c r="H52" s="99"/>
      <c r="I52" s="99"/>
      <c r="J52" s="99"/>
      <c r="K52" s="99"/>
      <c r="L52" s="99"/>
      <c r="M52" s="99"/>
      <c r="N52" s="99"/>
      <c r="O52" s="99"/>
      <c r="P52" s="100"/>
    </row>
    <row r="53" spans="2:16" ht="22" x14ac:dyDescent="0.55000000000000004">
      <c r="B53" s="101" t="s">
        <v>377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3"/>
    </row>
    <row r="54" spans="2:16" x14ac:dyDescent="0.55000000000000004">
      <c r="B54" s="39"/>
      <c r="P54" s="40"/>
    </row>
    <row r="55" spans="2:16" x14ac:dyDescent="0.55000000000000004">
      <c r="B55" s="39"/>
      <c r="P55" s="40"/>
    </row>
    <row r="56" spans="2:16" x14ac:dyDescent="0.55000000000000004">
      <c r="B56" s="39"/>
      <c r="C56" s="38" t="s">
        <v>364</v>
      </c>
      <c r="P56" s="40"/>
    </row>
    <row r="57" spans="2:16" x14ac:dyDescent="0.55000000000000004">
      <c r="B57" s="39"/>
      <c r="P57" s="40"/>
    </row>
    <row r="58" spans="2:16" x14ac:dyDescent="0.55000000000000004">
      <c r="B58" s="39"/>
      <c r="D58" s="45" t="s">
        <v>378</v>
      </c>
      <c r="P58" s="40"/>
    </row>
    <row r="59" spans="2:16" x14ac:dyDescent="0.55000000000000004">
      <c r="B59" s="39"/>
      <c r="D59" s="45" t="s">
        <v>379</v>
      </c>
      <c r="P59" s="40"/>
    </row>
    <row r="60" spans="2:16" x14ac:dyDescent="0.55000000000000004">
      <c r="B60" s="39"/>
      <c r="D60" s="45" t="s">
        <v>365</v>
      </c>
      <c r="P60" s="40"/>
    </row>
    <row r="61" spans="2:16" x14ac:dyDescent="0.55000000000000004">
      <c r="B61" s="39"/>
      <c r="D61" s="45" t="s">
        <v>366</v>
      </c>
      <c r="P61" s="40"/>
    </row>
    <row r="62" spans="2:16" x14ac:dyDescent="0.55000000000000004">
      <c r="B62" s="39"/>
      <c r="P62" s="40"/>
    </row>
    <row r="63" spans="2:16" x14ac:dyDescent="0.55000000000000004">
      <c r="B63" s="39"/>
      <c r="P63" s="40"/>
    </row>
    <row r="64" spans="2:16" x14ac:dyDescent="0.55000000000000004">
      <c r="B64" s="39"/>
      <c r="C64" s="38" t="s">
        <v>376</v>
      </c>
      <c r="P64" s="40"/>
    </row>
    <row r="65" spans="2:16" x14ac:dyDescent="0.55000000000000004">
      <c r="B65" s="39"/>
      <c r="P65" s="40"/>
    </row>
    <row r="66" spans="2:16" x14ac:dyDescent="0.55000000000000004">
      <c r="B66" s="39"/>
      <c r="D66" s="45" t="s">
        <v>367</v>
      </c>
      <c r="P66" s="40"/>
    </row>
    <row r="67" spans="2:16" x14ac:dyDescent="0.55000000000000004">
      <c r="B67" s="39"/>
      <c r="P67" s="40"/>
    </row>
    <row r="68" spans="2:16" x14ac:dyDescent="0.55000000000000004">
      <c r="B68" s="39"/>
      <c r="D68" s="48" t="s">
        <v>373</v>
      </c>
      <c r="E68" s="104" t="s">
        <v>332</v>
      </c>
      <c r="F68" s="105"/>
      <c r="G68" s="105"/>
      <c r="H68" s="106"/>
      <c r="I68" s="104" t="s">
        <v>336</v>
      </c>
      <c r="J68" s="105"/>
      <c r="K68" s="105"/>
      <c r="L68" s="105"/>
      <c r="M68" s="105"/>
      <c r="N68" s="105"/>
      <c r="O68" s="106"/>
      <c r="P68" s="40"/>
    </row>
    <row r="69" spans="2:16" x14ac:dyDescent="0.55000000000000004">
      <c r="B69" s="39"/>
      <c r="D69" s="49" t="s">
        <v>331</v>
      </c>
      <c r="E69" s="107"/>
      <c r="F69" s="108"/>
      <c r="G69" s="108"/>
      <c r="H69" s="109"/>
      <c r="I69" s="107"/>
      <c r="J69" s="108"/>
      <c r="K69" s="108"/>
      <c r="L69" s="108"/>
      <c r="M69" s="108"/>
      <c r="N69" s="108"/>
      <c r="O69" s="109"/>
      <c r="P69" s="40"/>
    </row>
    <row r="70" spans="2:16" ht="18" x14ac:dyDescent="0.55000000000000004">
      <c r="B70" s="39"/>
      <c r="D70" s="47" t="s">
        <v>333</v>
      </c>
      <c r="E70" s="88" t="s">
        <v>338</v>
      </c>
      <c r="F70" s="89"/>
      <c r="G70" s="89"/>
      <c r="H70" s="90"/>
      <c r="I70" s="88" t="s">
        <v>339</v>
      </c>
      <c r="J70" s="89"/>
      <c r="K70" s="89"/>
      <c r="L70" s="89"/>
      <c r="M70" s="89"/>
      <c r="N70" s="89"/>
      <c r="O70" s="90"/>
      <c r="P70" s="40"/>
    </row>
    <row r="71" spans="2:16" ht="18" x14ac:dyDescent="0.55000000000000004">
      <c r="B71" s="39"/>
      <c r="D71" s="47" t="s">
        <v>334</v>
      </c>
      <c r="E71" s="94" t="s">
        <v>335</v>
      </c>
      <c r="F71" s="95"/>
      <c r="G71" s="88" t="s">
        <v>466</v>
      </c>
      <c r="H71" s="90"/>
      <c r="I71" s="88" t="s">
        <v>471</v>
      </c>
      <c r="J71" s="89"/>
      <c r="K71" s="89"/>
      <c r="L71" s="89"/>
      <c r="M71" s="89"/>
      <c r="N71" s="89"/>
      <c r="O71" s="90"/>
      <c r="P71" s="40"/>
    </row>
    <row r="72" spans="2:16" ht="18" x14ac:dyDescent="0.55000000000000004">
      <c r="B72" s="39"/>
      <c r="D72" s="47" t="s">
        <v>337</v>
      </c>
      <c r="E72" s="96"/>
      <c r="F72" s="97"/>
      <c r="G72" s="88" t="s">
        <v>467</v>
      </c>
      <c r="H72" s="90"/>
      <c r="I72" s="88" t="s">
        <v>472</v>
      </c>
      <c r="J72" s="89"/>
      <c r="K72" s="89"/>
      <c r="L72" s="89"/>
      <c r="M72" s="89"/>
      <c r="N72" s="89"/>
      <c r="O72" s="90"/>
      <c r="P72" s="40"/>
    </row>
    <row r="73" spans="2:16" ht="18" x14ac:dyDescent="0.55000000000000004">
      <c r="B73" s="39"/>
      <c r="D73" s="47" t="s">
        <v>340</v>
      </c>
      <c r="E73" s="88" t="s">
        <v>368</v>
      </c>
      <c r="F73" s="89"/>
      <c r="G73" s="89"/>
      <c r="H73" s="90"/>
      <c r="I73" s="91" t="s">
        <v>369</v>
      </c>
      <c r="J73" s="92"/>
      <c r="K73" s="92"/>
      <c r="L73" s="92"/>
      <c r="M73" s="92"/>
      <c r="N73" s="92"/>
      <c r="O73" s="93"/>
      <c r="P73" s="40"/>
    </row>
    <row r="74" spans="2:16" ht="18" x14ac:dyDescent="0.55000000000000004">
      <c r="B74" s="39"/>
      <c r="D74" s="47" t="s">
        <v>372</v>
      </c>
      <c r="E74" s="88" t="s">
        <v>370</v>
      </c>
      <c r="F74" s="89"/>
      <c r="G74" s="89"/>
      <c r="H74" s="90"/>
      <c r="I74" s="88" t="s">
        <v>371</v>
      </c>
      <c r="J74" s="89"/>
      <c r="K74" s="89"/>
      <c r="L74" s="89"/>
      <c r="M74" s="89"/>
      <c r="N74" s="89"/>
      <c r="O74" s="90"/>
      <c r="P74" s="40"/>
    </row>
    <row r="75" spans="2:16" x14ac:dyDescent="0.55000000000000004">
      <c r="B75" s="39"/>
      <c r="D75" s="45" t="s">
        <v>380</v>
      </c>
      <c r="P75" s="40"/>
    </row>
    <row r="76" spans="2:16" x14ac:dyDescent="0.55000000000000004">
      <c r="B76" s="39"/>
      <c r="D76" s="45" t="s">
        <v>450</v>
      </c>
      <c r="P76" s="40"/>
    </row>
    <row r="77" spans="2:16" x14ac:dyDescent="0.55000000000000004">
      <c r="B77" s="39"/>
      <c r="D77" s="45" t="s">
        <v>451</v>
      </c>
      <c r="P77" s="40"/>
    </row>
    <row r="78" spans="2:16" x14ac:dyDescent="0.55000000000000004">
      <c r="B78" s="39"/>
      <c r="D78" s="45" t="s">
        <v>436</v>
      </c>
      <c r="P78" s="40"/>
    </row>
    <row r="79" spans="2:16" x14ac:dyDescent="0.55000000000000004">
      <c r="B79" s="39"/>
      <c r="D79" s="38"/>
      <c r="P79" s="40"/>
    </row>
    <row r="80" spans="2:16" x14ac:dyDescent="0.55000000000000004">
      <c r="B80" s="39"/>
      <c r="P80" s="40"/>
    </row>
    <row r="81" spans="2:16" x14ac:dyDescent="0.55000000000000004">
      <c r="B81" s="39"/>
      <c r="P81" s="40"/>
    </row>
    <row r="82" spans="2:16" x14ac:dyDescent="0.55000000000000004">
      <c r="B82" s="39"/>
      <c r="P82" s="40"/>
    </row>
    <row r="83" spans="2:16" x14ac:dyDescent="0.55000000000000004">
      <c r="B83" s="39"/>
      <c r="P83" s="40"/>
    </row>
    <row r="84" spans="2:16" x14ac:dyDescent="0.55000000000000004">
      <c r="B84" s="39"/>
      <c r="P84" s="40"/>
    </row>
    <row r="85" spans="2:16" x14ac:dyDescent="0.55000000000000004">
      <c r="B85" s="39"/>
      <c r="P85" s="40"/>
    </row>
    <row r="86" spans="2:16" x14ac:dyDescent="0.55000000000000004">
      <c r="B86" s="39"/>
      <c r="P86" s="40"/>
    </row>
    <row r="87" spans="2:16" x14ac:dyDescent="0.55000000000000004">
      <c r="B87" s="39"/>
      <c r="P87" s="40"/>
    </row>
    <row r="88" spans="2:16" x14ac:dyDescent="0.55000000000000004">
      <c r="B88" s="39"/>
      <c r="P88" s="40"/>
    </row>
    <row r="89" spans="2:16" x14ac:dyDescent="0.55000000000000004">
      <c r="B89" s="39"/>
      <c r="P89" s="40"/>
    </row>
    <row r="90" spans="2:16" x14ac:dyDescent="0.55000000000000004">
      <c r="B90" s="39"/>
      <c r="P90" s="40"/>
    </row>
    <row r="91" spans="2:16" x14ac:dyDescent="0.55000000000000004">
      <c r="B91" s="39"/>
      <c r="P91" s="40"/>
    </row>
    <row r="92" spans="2:16" x14ac:dyDescent="0.55000000000000004">
      <c r="B92" s="39"/>
      <c r="P92" s="40"/>
    </row>
    <row r="93" spans="2:16" x14ac:dyDescent="0.55000000000000004">
      <c r="B93" s="39"/>
      <c r="C93" s="38" t="s">
        <v>374</v>
      </c>
      <c r="P93" s="40"/>
    </row>
    <row r="94" spans="2:16" x14ac:dyDescent="0.55000000000000004">
      <c r="B94" s="39"/>
      <c r="P94" s="40"/>
    </row>
    <row r="95" spans="2:16" x14ac:dyDescent="0.55000000000000004">
      <c r="B95" s="39"/>
      <c r="D95" s="45" t="s">
        <v>375</v>
      </c>
      <c r="P95" s="40"/>
    </row>
    <row r="96" spans="2:16" x14ac:dyDescent="0.55000000000000004">
      <c r="B96" s="39"/>
      <c r="P96" s="40"/>
    </row>
    <row r="97" spans="2:16" x14ac:dyDescent="0.55000000000000004">
      <c r="B97" s="39"/>
      <c r="P97" s="40"/>
    </row>
    <row r="98" spans="2:16" x14ac:dyDescent="0.55000000000000004">
      <c r="B98" s="41"/>
      <c r="C98" s="42"/>
      <c r="D98" s="44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3"/>
    </row>
  </sheetData>
  <sheetProtection sheet="1" objects="1" scenarios="1"/>
  <mergeCells count="17">
    <mergeCell ref="B2:P2"/>
    <mergeCell ref="B3:P3"/>
    <mergeCell ref="B52:P52"/>
    <mergeCell ref="B53:P53"/>
    <mergeCell ref="E68:H69"/>
    <mergeCell ref="I68:O69"/>
    <mergeCell ref="E73:H73"/>
    <mergeCell ref="I73:O73"/>
    <mergeCell ref="E74:H74"/>
    <mergeCell ref="I74:O74"/>
    <mergeCell ref="E70:H70"/>
    <mergeCell ref="I70:O70"/>
    <mergeCell ref="E71:F72"/>
    <mergeCell ref="G71:H71"/>
    <mergeCell ref="I71:O71"/>
    <mergeCell ref="G72:H72"/>
    <mergeCell ref="I72:O72"/>
  </mergeCells>
  <phoneticPr fontId="1"/>
  <pageMargins left="0.39370078740157483" right="0.19685039370078741" top="0.39370078740157483" bottom="0.39370078740157483" header="0.31496062992125984" footer="0.31496062992125984"/>
  <pageSetup paperSize="9" fitToHeight="0" orientation="portrait" horizontalDpi="4294967293" r:id="rId1"/>
  <rowBreaks count="1" manualBreakCount="1">
    <brk id="50" max="16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7BBF0-CC1E-4C0A-A4C9-EA5BC5D5C39F}">
  <sheetPr codeName="Sheet5">
    <tabColor rgb="FF92D050"/>
    <pageSetUpPr fitToPage="1"/>
  </sheetPr>
  <dimension ref="B1:Q52"/>
  <sheetViews>
    <sheetView showGridLines="0" view="pageBreakPreview" zoomScaleNormal="100" zoomScaleSheetLayoutView="100" workbookViewId="0">
      <selection activeCell="A21" sqref="A21"/>
    </sheetView>
  </sheetViews>
  <sheetFormatPr defaultColWidth="9" defaultRowHeight="15" x14ac:dyDescent="0.55000000000000004"/>
  <cols>
    <col min="1" max="1" width="1.58203125" style="38" customWidth="1"/>
    <col min="2" max="3" width="5.58203125" style="38" customWidth="1"/>
    <col min="4" max="4" width="5.58203125" style="45" customWidth="1"/>
    <col min="5" max="16" width="5.58203125" style="38" customWidth="1"/>
    <col min="17" max="17" width="1.58203125" style="38" customWidth="1"/>
    <col min="18" max="16384" width="9" style="38"/>
  </cols>
  <sheetData>
    <row r="1" spans="2:17" ht="9" customHeight="1" x14ac:dyDescent="0.55000000000000004"/>
    <row r="2" spans="2:17" x14ac:dyDescent="0.55000000000000004">
      <c r="B2" s="98" t="s">
        <v>330</v>
      </c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100"/>
    </row>
    <row r="3" spans="2:17" ht="22" x14ac:dyDescent="0.55000000000000004">
      <c r="B3" s="101" t="s">
        <v>390</v>
      </c>
      <c r="C3" s="102"/>
      <c r="D3" s="102"/>
      <c r="E3" s="102"/>
      <c r="F3" s="102"/>
      <c r="G3" s="102"/>
      <c r="H3" s="102"/>
      <c r="I3" s="102"/>
      <c r="J3" s="102"/>
      <c r="K3" s="102"/>
      <c r="L3" s="102"/>
      <c r="M3" s="102"/>
      <c r="N3" s="102"/>
      <c r="O3" s="102"/>
      <c r="P3" s="103"/>
    </row>
    <row r="4" spans="2:17" x14ac:dyDescent="0.55000000000000004">
      <c r="B4" s="39"/>
      <c r="P4" s="40"/>
    </row>
    <row r="5" spans="2:17" x14ac:dyDescent="0.55000000000000004">
      <c r="B5" s="39"/>
      <c r="C5" s="38" t="s">
        <v>391</v>
      </c>
      <c r="P5" s="40"/>
    </row>
    <row r="6" spans="2:17" x14ac:dyDescent="0.55000000000000004">
      <c r="B6" s="39"/>
      <c r="P6" s="40"/>
    </row>
    <row r="7" spans="2:17" x14ac:dyDescent="0.55000000000000004">
      <c r="B7" s="39"/>
      <c r="C7" s="38" t="s">
        <v>413</v>
      </c>
      <c r="P7" s="40"/>
      <c r="Q7" s="38" t="s">
        <v>423</v>
      </c>
    </row>
    <row r="8" spans="2:17" x14ac:dyDescent="0.55000000000000004">
      <c r="B8" s="39"/>
      <c r="D8" s="45" t="s">
        <v>412</v>
      </c>
      <c r="P8" s="40"/>
    </row>
    <row r="9" spans="2:17" x14ac:dyDescent="0.55000000000000004">
      <c r="B9" s="39"/>
      <c r="D9" s="38" t="s">
        <v>433</v>
      </c>
      <c r="P9" s="40"/>
    </row>
    <row r="10" spans="2:17" x14ac:dyDescent="0.55000000000000004">
      <c r="B10" s="39"/>
      <c r="C10" s="38" t="s">
        <v>414</v>
      </c>
      <c r="P10" s="40"/>
    </row>
    <row r="11" spans="2:17" x14ac:dyDescent="0.55000000000000004">
      <c r="B11" s="39"/>
      <c r="P11" s="40"/>
    </row>
    <row r="12" spans="2:17" ht="18" x14ac:dyDescent="0.55000000000000004">
      <c r="B12" s="39"/>
      <c r="D12" s="129" t="s">
        <v>392</v>
      </c>
      <c r="E12" s="130"/>
      <c r="F12" s="130"/>
      <c r="G12" s="130"/>
      <c r="H12" s="130"/>
      <c r="I12" s="130"/>
      <c r="J12" s="130"/>
      <c r="K12" s="130"/>
      <c r="L12" s="130"/>
      <c r="M12" s="130"/>
      <c r="N12" s="54"/>
      <c r="O12" s="54"/>
      <c r="P12" s="40"/>
    </row>
    <row r="13" spans="2:17" ht="18" x14ac:dyDescent="0.55000000000000004">
      <c r="B13" s="39"/>
      <c r="D13" s="129" t="s">
        <v>393</v>
      </c>
      <c r="E13" s="130"/>
      <c r="F13" s="130"/>
      <c r="G13" s="130"/>
      <c r="H13" s="130"/>
      <c r="I13" s="130"/>
      <c r="J13" s="130"/>
      <c r="K13" s="130"/>
      <c r="L13" s="130"/>
      <c r="M13" s="130"/>
      <c r="N13" s="54"/>
      <c r="O13" s="54"/>
      <c r="P13" s="40"/>
    </row>
    <row r="14" spans="2:17" x14ac:dyDescent="0.55000000000000004">
      <c r="B14" s="39"/>
      <c r="P14" s="40"/>
    </row>
    <row r="15" spans="2:17" x14ac:dyDescent="0.55000000000000004">
      <c r="B15" s="39"/>
      <c r="C15" s="38" t="s">
        <v>415</v>
      </c>
      <c r="P15" s="40"/>
    </row>
    <row r="16" spans="2:17" x14ac:dyDescent="0.55000000000000004">
      <c r="B16" s="39"/>
      <c r="C16" s="38" t="s">
        <v>437</v>
      </c>
      <c r="P16" s="40"/>
    </row>
    <row r="17" spans="2:16" x14ac:dyDescent="0.55000000000000004">
      <c r="B17" s="39"/>
      <c r="C17" s="38" t="s">
        <v>435</v>
      </c>
      <c r="P17" s="40"/>
    </row>
    <row r="18" spans="2:16" ht="18" customHeight="1" x14ac:dyDescent="0.55000000000000004">
      <c r="B18" s="39"/>
      <c r="C18" s="116" t="s">
        <v>432</v>
      </c>
      <c r="D18" s="122"/>
      <c r="E18" s="61" t="s">
        <v>382</v>
      </c>
      <c r="F18" s="61"/>
      <c r="G18" s="61" t="s">
        <v>424</v>
      </c>
      <c r="H18" s="61"/>
      <c r="I18" s="61"/>
      <c r="J18" s="61"/>
      <c r="K18" s="61"/>
      <c r="L18" s="61"/>
      <c r="M18" s="61"/>
      <c r="N18" s="61"/>
      <c r="O18" s="61"/>
      <c r="P18" s="40"/>
    </row>
    <row r="19" spans="2:16" x14ac:dyDescent="0.55000000000000004">
      <c r="B19" s="39"/>
      <c r="C19" s="123"/>
      <c r="D19" s="124"/>
      <c r="E19" s="52" t="s">
        <v>383</v>
      </c>
      <c r="F19" s="52"/>
      <c r="G19" s="52" t="s">
        <v>438</v>
      </c>
      <c r="H19" s="52"/>
      <c r="I19" s="52"/>
      <c r="J19" s="52"/>
      <c r="K19" s="52"/>
      <c r="L19" s="52"/>
      <c r="M19" s="52"/>
      <c r="N19" s="52"/>
      <c r="O19" s="52"/>
      <c r="P19" s="40"/>
    </row>
    <row r="20" spans="2:16" x14ac:dyDescent="0.55000000000000004">
      <c r="B20" s="39"/>
      <c r="C20" s="123"/>
      <c r="D20" s="124"/>
      <c r="E20" s="52" t="s">
        <v>384</v>
      </c>
      <c r="F20" s="52"/>
      <c r="G20" s="52" t="s">
        <v>439</v>
      </c>
      <c r="H20" s="52"/>
      <c r="I20" s="52"/>
      <c r="J20" s="52"/>
      <c r="K20" s="52"/>
      <c r="L20" s="52"/>
      <c r="M20" s="52"/>
      <c r="N20" s="52"/>
      <c r="O20" s="52"/>
      <c r="P20" s="40"/>
    </row>
    <row r="21" spans="2:16" x14ac:dyDescent="0.55000000000000004">
      <c r="B21" s="39"/>
      <c r="C21" s="123"/>
      <c r="D21" s="124"/>
      <c r="E21" s="52" t="s">
        <v>385</v>
      </c>
      <c r="F21" s="52"/>
      <c r="G21" s="52" t="s">
        <v>440</v>
      </c>
      <c r="H21" s="52"/>
      <c r="I21" s="52"/>
      <c r="J21" s="52"/>
      <c r="K21" s="52"/>
      <c r="L21" s="52"/>
      <c r="M21" s="52"/>
      <c r="N21" s="52"/>
      <c r="O21" s="52"/>
      <c r="P21" s="40"/>
    </row>
    <row r="22" spans="2:16" x14ac:dyDescent="0.55000000000000004">
      <c r="B22" s="39"/>
      <c r="C22" s="123"/>
      <c r="D22" s="124"/>
      <c r="E22" s="52" t="s">
        <v>386</v>
      </c>
      <c r="F22" s="52"/>
      <c r="G22" s="52" t="s">
        <v>441</v>
      </c>
      <c r="H22" s="52"/>
      <c r="I22" s="52"/>
      <c r="J22" s="52"/>
      <c r="K22" s="52"/>
      <c r="L22" s="52"/>
      <c r="M22" s="52"/>
      <c r="N22" s="52"/>
      <c r="O22" s="52"/>
      <c r="P22" s="40"/>
    </row>
    <row r="23" spans="2:16" x14ac:dyDescent="0.55000000000000004">
      <c r="B23" s="39"/>
      <c r="C23" s="123"/>
      <c r="D23" s="124"/>
      <c r="E23" s="52" t="s">
        <v>387</v>
      </c>
      <c r="F23" s="52"/>
      <c r="G23" s="52" t="s">
        <v>442</v>
      </c>
      <c r="H23" s="52"/>
      <c r="I23" s="52"/>
      <c r="J23" s="52"/>
      <c r="K23" s="52"/>
      <c r="L23" s="52"/>
      <c r="M23" s="52"/>
      <c r="N23" s="52"/>
      <c r="O23" s="52"/>
      <c r="P23" s="40"/>
    </row>
    <row r="24" spans="2:16" x14ac:dyDescent="0.55000000000000004">
      <c r="B24" s="39"/>
      <c r="C24" s="123"/>
      <c r="D24" s="124"/>
      <c r="E24" s="52" t="s">
        <v>388</v>
      </c>
      <c r="F24" s="52"/>
      <c r="G24" s="78" t="s">
        <v>411</v>
      </c>
      <c r="H24" s="78"/>
      <c r="I24" s="78"/>
      <c r="J24" s="78" t="s">
        <v>470</v>
      </c>
      <c r="K24" s="78"/>
      <c r="L24" s="78"/>
      <c r="M24" s="78"/>
      <c r="N24" s="78"/>
      <c r="O24" s="78"/>
      <c r="P24" s="40"/>
    </row>
    <row r="25" spans="2:16" x14ac:dyDescent="0.55000000000000004">
      <c r="B25" s="39"/>
      <c r="C25" s="123"/>
      <c r="D25" s="124"/>
      <c r="E25" s="42" t="s">
        <v>389</v>
      </c>
      <c r="F25" s="42"/>
      <c r="G25" s="79" t="s">
        <v>468</v>
      </c>
      <c r="H25" s="79"/>
      <c r="I25" s="79"/>
      <c r="J25" s="79" t="s">
        <v>469</v>
      </c>
      <c r="K25" s="79"/>
      <c r="L25" s="79"/>
      <c r="M25" s="79"/>
      <c r="N25" s="79"/>
      <c r="O25" s="79"/>
      <c r="P25" s="40"/>
    </row>
    <row r="26" spans="2:16" ht="18" customHeight="1" x14ac:dyDescent="0.55000000000000004">
      <c r="B26" s="39"/>
      <c r="C26" s="123"/>
      <c r="D26" s="124"/>
      <c r="E26" s="62" t="s">
        <v>425</v>
      </c>
      <c r="F26" s="61"/>
      <c r="G26" s="80" t="s">
        <v>426</v>
      </c>
      <c r="H26" s="80"/>
      <c r="I26" s="80"/>
      <c r="J26" s="127" t="s">
        <v>452</v>
      </c>
      <c r="K26" s="127"/>
      <c r="L26" s="127"/>
      <c r="M26" s="127"/>
      <c r="N26" s="127"/>
      <c r="O26" s="127"/>
      <c r="P26" s="40"/>
    </row>
    <row r="27" spans="2:16" x14ac:dyDescent="0.55000000000000004">
      <c r="B27" s="39"/>
      <c r="C27" s="125"/>
      <c r="D27" s="126"/>
      <c r="E27" s="42" t="s">
        <v>427</v>
      </c>
      <c r="F27" s="42"/>
      <c r="G27" s="79" t="s">
        <v>428</v>
      </c>
      <c r="H27" s="79"/>
      <c r="I27" s="79"/>
      <c r="J27" s="128"/>
      <c r="K27" s="128"/>
      <c r="L27" s="128"/>
      <c r="M27" s="128"/>
      <c r="N27" s="128"/>
      <c r="O27" s="128"/>
      <c r="P27" s="40"/>
    </row>
    <row r="28" spans="2:16" x14ac:dyDescent="0.55000000000000004">
      <c r="B28" s="39"/>
      <c r="P28" s="40"/>
    </row>
    <row r="29" spans="2:16" x14ac:dyDescent="0.55000000000000004">
      <c r="B29" s="39"/>
      <c r="C29" s="38" t="s">
        <v>416</v>
      </c>
      <c r="P29" s="40"/>
    </row>
    <row r="30" spans="2:16" x14ac:dyDescent="0.55000000000000004">
      <c r="B30" s="39"/>
      <c r="P30" s="40"/>
    </row>
    <row r="31" spans="2:16" x14ac:dyDescent="0.55000000000000004">
      <c r="B31" s="39"/>
      <c r="C31" s="38" t="s">
        <v>417</v>
      </c>
      <c r="P31" s="40"/>
    </row>
    <row r="32" spans="2:16" x14ac:dyDescent="0.55000000000000004">
      <c r="B32" s="39"/>
      <c r="C32" s="38" t="s">
        <v>418</v>
      </c>
      <c r="P32" s="40"/>
    </row>
    <row r="33" spans="2:16" x14ac:dyDescent="0.55000000000000004">
      <c r="B33" s="39"/>
      <c r="P33" s="40"/>
    </row>
    <row r="34" spans="2:16" x14ac:dyDescent="0.55000000000000004">
      <c r="B34" s="39"/>
      <c r="C34" s="38" t="s">
        <v>394</v>
      </c>
      <c r="P34" s="40"/>
    </row>
    <row r="35" spans="2:16" x14ac:dyDescent="0.55000000000000004">
      <c r="B35" s="39"/>
      <c r="P35" s="40"/>
    </row>
    <row r="36" spans="2:16" x14ac:dyDescent="0.55000000000000004">
      <c r="B36" s="39"/>
      <c r="C36" s="38" t="s">
        <v>396</v>
      </c>
      <c r="L36" s="50"/>
      <c r="P36" s="40"/>
    </row>
    <row r="37" spans="2:16" x14ac:dyDescent="0.55000000000000004">
      <c r="B37" s="39"/>
      <c r="C37" s="38" t="s">
        <v>419</v>
      </c>
      <c r="L37" s="50"/>
      <c r="P37" s="40"/>
    </row>
    <row r="38" spans="2:16" x14ac:dyDescent="0.55000000000000004">
      <c r="B38" s="39"/>
      <c r="P38" s="40"/>
    </row>
    <row r="39" spans="2:16" x14ac:dyDescent="0.55000000000000004">
      <c r="B39" s="39"/>
      <c r="C39" s="110" t="s">
        <v>395</v>
      </c>
      <c r="D39" s="111"/>
      <c r="E39" s="112"/>
      <c r="F39" s="59" t="s">
        <v>96</v>
      </c>
      <c r="G39" s="60"/>
      <c r="H39" s="61" t="s">
        <v>397</v>
      </c>
      <c r="I39" s="61"/>
      <c r="J39" s="61"/>
      <c r="K39" s="61" t="s">
        <v>398</v>
      </c>
      <c r="L39" s="61"/>
      <c r="M39" s="61"/>
      <c r="N39" s="61"/>
      <c r="O39" s="61"/>
      <c r="P39" s="40"/>
    </row>
    <row r="40" spans="2:16" x14ac:dyDescent="0.55000000000000004">
      <c r="B40" s="39"/>
      <c r="C40" s="113"/>
      <c r="D40" s="114"/>
      <c r="E40" s="115"/>
      <c r="F40" s="56" t="s">
        <v>118</v>
      </c>
      <c r="G40" s="57"/>
      <c r="H40" s="58" t="s">
        <v>399</v>
      </c>
      <c r="I40" s="58"/>
      <c r="J40" s="58"/>
      <c r="K40" s="58"/>
      <c r="L40" s="58"/>
      <c r="M40" s="58"/>
      <c r="N40" s="58"/>
      <c r="O40" s="58"/>
      <c r="P40" s="40"/>
    </row>
    <row r="41" spans="2:16" ht="18" customHeight="1" x14ac:dyDescent="0.55000000000000004">
      <c r="B41" s="39"/>
      <c r="C41" s="116" t="s">
        <v>381</v>
      </c>
      <c r="D41" s="116"/>
      <c r="E41" s="117"/>
      <c r="F41" s="59" t="s">
        <v>225</v>
      </c>
      <c r="G41" s="60"/>
      <c r="H41" s="61"/>
      <c r="I41" s="61"/>
      <c r="J41" s="61" t="s">
        <v>264</v>
      </c>
      <c r="K41" s="61"/>
      <c r="L41" s="61"/>
      <c r="M41" s="61"/>
      <c r="N41" s="61"/>
      <c r="O41" s="61"/>
      <c r="P41" s="40"/>
    </row>
    <row r="42" spans="2:16" ht="18" customHeight="1" x14ac:dyDescent="0.55000000000000004">
      <c r="B42" s="39"/>
      <c r="C42" s="118"/>
      <c r="D42" s="118"/>
      <c r="E42" s="119"/>
      <c r="F42" s="53" t="s">
        <v>260</v>
      </c>
      <c r="G42" s="51"/>
      <c r="H42" s="52"/>
      <c r="I42" s="52"/>
      <c r="J42" s="52" t="s">
        <v>401</v>
      </c>
      <c r="K42" s="52"/>
      <c r="L42" s="52"/>
      <c r="M42" s="52"/>
      <c r="N42" s="52"/>
      <c r="O42" s="52"/>
      <c r="P42" s="40"/>
    </row>
    <row r="43" spans="2:16" ht="18" customHeight="1" x14ac:dyDescent="0.55000000000000004">
      <c r="B43" s="39"/>
      <c r="C43" s="118"/>
      <c r="D43" s="118"/>
      <c r="E43" s="119"/>
      <c r="F43" s="53" t="s">
        <v>402</v>
      </c>
      <c r="G43" s="51"/>
      <c r="H43" s="52"/>
      <c r="I43" s="52"/>
      <c r="J43" s="53" t="s">
        <v>406</v>
      </c>
      <c r="K43" s="52"/>
      <c r="L43" s="52"/>
      <c r="M43" s="52"/>
      <c r="N43" s="52"/>
      <c r="O43" s="52"/>
      <c r="P43" s="40"/>
    </row>
    <row r="44" spans="2:16" ht="18" customHeight="1" x14ac:dyDescent="0.55000000000000004">
      <c r="B44" s="39"/>
      <c r="C44" s="118"/>
      <c r="D44" s="118"/>
      <c r="E44" s="119"/>
      <c r="F44" s="53" t="s">
        <v>405</v>
      </c>
      <c r="G44" s="51"/>
      <c r="H44" s="52"/>
      <c r="I44" s="52"/>
      <c r="J44" s="52" t="s">
        <v>404</v>
      </c>
      <c r="K44" s="52"/>
      <c r="L44" s="52"/>
      <c r="M44" s="52"/>
      <c r="N44" s="52"/>
      <c r="O44" s="52"/>
      <c r="P44" s="40"/>
    </row>
    <row r="45" spans="2:16" ht="18" customHeight="1" x14ac:dyDescent="0.55000000000000004">
      <c r="B45" s="39"/>
      <c r="C45" s="118"/>
      <c r="D45" s="118"/>
      <c r="E45" s="119"/>
      <c r="F45" s="52" t="s">
        <v>403</v>
      </c>
      <c r="G45" s="51"/>
      <c r="H45" s="52"/>
      <c r="I45" s="52"/>
      <c r="J45" s="52" t="s">
        <v>400</v>
      </c>
      <c r="K45" s="52"/>
      <c r="L45" s="52"/>
      <c r="M45" s="52"/>
      <c r="N45" s="52"/>
      <c r="O45" s="52"/>
      <c r="P45" s="40"/>
    </row>
    <row r="46" spans="2:16" ht="18" customHeight="1" x14ac:dyDescent="0.55000000000000004">
      <c r="B46" s="39"/>
      <c r="C46" s="118"/>
      <c r="D46" s="118"/>
      <c r="E46" s="119"/>
      <c r="F46" s="53" t="s">
        <v>410</v>
      </c>
      <c r="G46" s="51"/>
      <c r="H46" s="52"/>
      <c r="I46" s="52"/>
      <c r="J46" s="52" t="s">
        <v>408</v>
      </c>
      <c r="K46" s="52"/>
      <c r="L46" s="52"/>
      <c r="M46" s="52"/>
      <c r="N46" s="52"/>
      <c r="O46" s="52"/>
      <c r="P46" s="40"/>
    </row>
    <row r="47" spans="2:16" ht="18" customHeight="1" x14ac:dyDescent="0.55000000000000004">
      <c r="B47" s="39"/>
      <c r="C47" s="120"/>
      <c r="D47" s="120"/>
      <c r="E47" s="121"/>
      <c r="F47" s="56" t="s">
        <v>409</v>
      </c>
      <c r="G47" s="57"/>
      <c r="H47" s="58"/>
      <c r="I47" s="58"/>
      <c r="J47" s="58" t="s">
        <v>407</v>
      </c>
      <c r="K47" s="58"/>
      <c r="L47" s="58"/>
      <c r="M47" s="58"/>
      <c r="N47" s="58"/>
      <c r="O47" s="58"/>
      <c r="P47" s="40"/>
    </row>
    <row r="48" spans="2:16" x14ac:dyDescent="0.55000000000000004">
      <c r="B48" s="39"/>
      <c r="P48" s="40"/>
    </row>
    <row r="49" spans="2:16" ht="20" x14ac:dyDescent="0.55000000000000004">
      <c r="B49" s="39"/>
      <c r="C49" s="65" t="s">
        <v>421</v>
      </c>
      <c r="D49" s="63"/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40"/>
    </row>
    <row r="50" spans="2:16" ht="8.5" customHeight="1" x14ac:dyDescent="0.55000000000000004">
      <c r="B50" s="41"/>
      <c r="C50" s="42"/>
      <c r="D50" s="64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3"/>
    </row>
    <row r="51" spans="2:16" ht="15.5" x14ac:dyDescent="0.55000000000000004">
      <c r="B51" s="55"/>
      <c r="C51" s="65"/>
      <c r="D51" s="63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</row>
    <row r="52" spans="2:16" x14ac:dyDescent="0.55000000000000004">
      <c r="B52" s="38" t="s">
        <v>420</v>
      </c>
    </row>
  </sheetData>
  <sheetProtection sheet="1" objects="1" scenarios="1"/>
  <mergeCells count="8">
    <mergeCell ref="B2:P2"/>
    <mergeCell ref="B3:P3"/>
    <mergeCell ref="C39:E40"/>
    <mergeCell ref="C41:E47"/>
    <mergeCell ref="C18:D27"/>
    <mergeCell ref="J26:O27"/>
    <mergeCell ref="D12:M12"/>
    <mergeCell ref="D13:M13"/>
  </mergeCells>
  <phoneticPr fontId="1"/>
  <pageMargins left="0.39370078740157483" right="0.19685039370078741" top="0.39370078740157483" bottom="0.39370078740157483" header="0.31496062992125984" footer="0.31496062992125984"/>
  <pageSetup paperSize="9" scale="95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F4248-B19F-44FE-B187-5DD62FD65447}">
  <sheetPr codeName="Sheet1">
    <tabColor rgb="FF00B0F0"/>
    <pageSetUpPr fitToPage="1"/>
  </sheetPr>
  <dimension ref="A1:P87"/>
  <sheetViews>
    <sheetView showGridLines="0" tabSelected="1" zoomScale="85" zoomScaleNormal="85" zoomScalePageLayoutView="60" workbookViewId="0">
      <selection activeCell="B8" sqref="B8:B9"/>
    </sheetView>
  </sheetViews>
  <sheetFormatPr defaultRowHeight="18" x14ac:dyDescent="0.55000000000000004"/>
  <cols>
    <col min="1" max="1" width="4" customWidth="1"/>
    <col min="2" max="2" width="8" customWidth="1"/>
    <col min="3" max="3" width="7.83203125" customWidth="1"/>
    <col min="4" max="4" width="5.08203125" style="36" customWidth="1"/>
    <col min="5" max="6" width="12.58203125" customWidth="1"/>
    <col min="7" max="7" width="12.58203125" style="34" customWidth="1"/>
    <col min="8" max="8" width="30.58203125" customWidth="1"/>
    <col min="9" max="9" width="9" customWidth="1"/>
    <col min="10" max="11" width="15.58203125" customWidth="1"/>
    <col min="12" max="12" width="17.25" customWidth="1"/>
    <col min="13" max="13" width="20.58203125" customWidth="1"/>
    <col min="14" max="14" width="3" customWidth="1"/>
    <col min="15" max="15" width="8.58203125" hidden="1" customWidth="1"/>
    <col min="16" max="16" width="26" hidden="1" customWidth="1"/>
    <col min="17" max="17" width="8.58203125" customWidth="1"/>
  </cols>
  <sheetData>
    <row r="1" spans="1:16" ht="26.5" x14ac:dyDescent="0.55000000000000004">
      <c r="A1" s="146"/>
      <c r="B1" s="151" t="s">
        <v>265</v>
      </c>
      <c r="C1" s="151"/>
      <c r="D1" s="149"/>
      <c r="E1" s="149"/>
      <c r="F1" s="149"/>
      <c r="G1" s="73"/>
      <c r="H1" s="146"/>
      <c r="K1" s="146"/>
      <c r="L1" s="147">
        <v>44501</v>
      </c>
      <c r="M1" s="148" t="s">
        <v>25</v>
      </c>
      <c r="N1" s="26"/>
    </row>
    <row r="2" spans="1:16" ht="4.5" customHeight="1" thickBot="1" x14ac:dyDescent="0.6">
      <c r="A2" s="146"/>
      <c r="B2" s="152"/>
      <c r="C2" s="152"/>
      <c r="D2" s="150"/>
      <c r="E2" s="150"/>
      <c r="F2" s="150"/>
      <c r="G2" s="73"/>
      <c r="H2" s="146"/>
      <c r="K2" s="146"/>
      <c r="L2" s="147"/>
      <c r="M2" s="148"/>
    </row>
    <row r="3" spans="1:16" ht="27" customHeight="1" x14ac:dyDescent="0.55000000000000004">
      <c r="F3" s="27"/>
      <c r="G3" s="27"/>
      <c r="H3" s="131"/>
      <c r="I3" s="131"/>
      <c r="J3" s="131"/>
      <c r="K3" s="21"/>
      <c r="O3" s="15">
        <v>20</v>
      </c>
      <c r="P3" s="16" t="s">
        <v>443</v>
      </c>
    </row>
    <row r="4" spans="1:16" ht="27" customHeight="1" thickBot="1" x14ac:dyDescent="0.6">
      <c r="C4" s="132" t="s">
        <v>155</v>
      </c>
      <c r="D4" s="132"/>
      <c r="E4" s="145" t="s">
        <v>311</v>
      </c>
      <c r="F4" s="145"/>
      <c r="G4" s="145"/>
      <c r="H4" s="81"/>
      <c r="I4" s="30"/>
      <c r="J4" s="30"/>
      <c r="K4" s="28" t="s">
        <v>266</v>
      </c>
      <c r="L4" s="138" t="s">
        <v>445</v>
      </c>
      <c r="M4" s="138"/>
    </row>
    <row r="5" spans="1:16" ht="21" customHeight="1" x14ac:dyDescent="0.55000000000000004">
      <c r="B5" s="10"/>
      <c r="E5" s="22"/>
      <c r="F5" s="29"/>
      <c r="G5" s="29"/>
      <c r="H5" s="139"/>
      <c r="I5" s="139"/>
      <c r="J5" s="139"/>
      <c r="K5" s="21"/>
    </row>
    <row r="6" spans="1:16" ht="20.5" customHeight="1" x14ac:dyDescent="0.5">
      <c r="B6" s="140" t="s">
        <v>464</v>
      </c>
      <c r="C6" s="140"/>
      <c r="D6" s="140"/>
    </row>
    <row r="8" spans="1:16" ht="28.5" customHeight="1" x14ac:dyDescent="0.55000000000000004">
      <c r="B8" s="142" t="s">
        <v>465</v>
      </c>
      <c r="C8" s="135" t="s">
        <v>2</v>
      </c>
      <c r="D8" s="136"/>
      <c r="E8" s="135" t="s">
        <v>449</v>
      </c>
      <c r="F8" s="137"/>
      <c r="G8" s="143" t="s">
        <v>448</v>
      </c>
      <c r="H8" s="144"/>
      <c r="I8" s="133" t="s">
        <v>7</v>
      </c>
      <c r="J8" s="135" t="s">
        <v>461</v>
      </c>
      <c r="K8" s="136"/>
      <c r="L8" s="137"/>
      <c r="M8" s="141" t="s">
        <v>6</v>
      </c>
      <c r="O8" s="17" t="s">
        <v>156</v>
      </c>
      <c r="P8" s="18" t="s">
        <v>157</v>
      </c>
    </row>
    <row r="9" spans="1:16" ht="31" customHeight="1" x14ac:dyDescent="0.55000000000000004">
      <c r="B9" s="134"/>
      <c r="C9" s="66" t="s">
        <v>0</v>
      </c>
      <c r="D9" s="86" t="s">
        <v>1</v>
      </c>
      <c r="E9" s="67" t="s">
        <v>466</v>
      </c>
      <c r="F9" s="67" t="s">
        <v>467</v>
      </c>
      <c r="G9" s="66" t="s">
        <v>446</v>
      </c>
      <c r="H9" s="74" t="s">
        <v>447</v>
      </c>
      <c r="I9" s="134"/>
      <c r="J9" s="66" t="s">
        <v>3</v>
      </c>
      <c r="K9" s="66" t="s">
        <v>4</v>
      </c>
      <c r="L9" s="66" t="s">
        <v>5</v>
      </c>
      <c r="M9" s="134"/>
      <c r="O9" s="17" t="s">
        <v>158</v>
      </c>
      <c r="P9" s="18" t="s">
        <v>159</v>
      </c>
    </row>
    <row r="10" spans="1:16" ht="29.25" customHeight="1" x14ac:dyDescent="0.55000000000000004">
      <c r="B10" s="1"/>
      <c r="C10" s="37">
        <f>$L$1</f>
        <v>44501</v>
      </c>
      <c r="D10" s="87" t="str">
        <f>TEXT(C10,"aaa")</f>
        <v>月</v>
      </c>
      <c r="E10" s="76"/>
      <c r="F10" s="76"/>
      <c r="G10" s="77"/>
      <c r="H10" s="83"/>
      <c r="I10" s="84"/>
      <c r="J10" s="85"/>
      <c r="K10" s="85"/>
      <c r="L10" s="85"/>
      <c r="M10" s="85"/>
      <c r="O10" s="17" t="s">
        <v>160</v>
      </c>
      <c r="P10" s="18" t="s">
        <v>161</v>
      </c>
    </row>
    <row r="11" spans="1:16" ht="29.25" customHeight="1" x14ac:dyDescent="0.55000000000000004">
      <c r="B11" s="1"/>
      <c r="C11" s="37">
        <f>C10+1</f>
        <v>44502</v>
      </c>
      <c r="D11" s="87" t="str">
        <f t="shared" ref="D11:D40" si="0">TEXT(C11,"aaa")</f>
        <v>火</v>
      </c>
      <c r="E11" s="76"/>
      <c r="F11" s="76"/>
      <c r="G11" s="77"/>
      <c r="H11" s="83"/>
      <c r="I11" s="84"/>
      <c r="J11" s="85"/>
      <c r="K11" s="85"/>
      <c r="L11" s="85"/>
      <c r="M11" s="85"/>
      <c r="O11" s="17" t="s">
        <v>162</v>
      </c>
      <c r="P11" s="18" t="s">
        <v>163</v>
      </c>
    </row>
    <row r="12" spans="1:16" ht="29.25" customHeight="1" x14ac:dyDescent="0.55000000000000004">
      <c r="B12" s="1"/>
      <c r="C12" s="37">
        <f t="shared" ref="C12:C37" si="1">C11+1</f>
        <v>44503</v>
      </c>
      <c r="D12" s="87" t="str">
        <f t="shared" si="0"/>
        <v>水</v>
      </c>
      <c r="E12" s="76"/>
      <c r="F12" s="76"/>
      <c r="G12" s="77"/>
      <c r="H12" s="83"/>
      <c r="I12" s="84"/>
      <c r="J12" s="85"/>
      <c r="K12" s="85"/>
      <c r="L12" s="85"/>
      <c r="M12" s="85"/>
      <c r="O12" s="17" t="s">
        <v>164</v>
      </c>
      <c r="P12" s="18" t="s">
        <v>165</v>
      </c>
    </row>
    <row r="13" spans="1:16" ht="29.25" customHeight="1" x14ac:dyDescent="0.55000000000000004">
      <c r="B13" s="1"/>
      <c r="C13" s="37">
        <f t="shared" si="1"/>
        <v>44504</v>
      </c>
      <c r="D13" s="87" t="str">
        <f t="shared" si="0"/>
        <v>木</v>
      </c>
      <c r="E13" s="76"/>
      <c r="F13" s="76"/>
      <c r="G13" s="77"/>
      <c r="H13" s="83"/>
      <c r="I13" s="84"/>
      <c r="J13" s="85"/>
      <c r="K13" s="85"/>
      <c r="L13" s="85"/>
      <c r="M13" s="85"/>
      <c r="O13" s="17" t="s">
        <v>166</v>
      </c>
      <c r="P13" s="18" t="s">
        <v>167</v>
      </c>
    </row>
    <row r="14" spans="1:16" ht="29.25" customHeight="1" x14ac:dyDescent="0.55000000000000004">
      <c r="B14" s="1"/>
      <c r="C14" s="37">
        <f t="shared" si="1"/>
        <v>44505</v>
      </c>
      <c r="D14" s="87" t="str">
        <f t="shared" si="0"/>
        <v>金</v>
      </c>
      <c r="E14" s="76"/>
      <c r="F14" s="76"/>
      <c r="G14" s="77"/>
      <c r="H14" s="83"/>
      <c r="I14" s="84"/>
      <c r="J14" s="85"/>
      <c r="K14" s="85"/>
      <c r="L14" s="85"/>
      <c r="M14" s="85"/>
      <c r="O14" s="17" t="s">
        <v>168</v>
      </c>
      <c r="P14" s="18" t="s">
        <v>169</v>
      </c>
    </row>
    <row r="15" spans="1:16" ht="29.25" customHeight="1" x14ac:dyDescent="0.55000000000000004">
      <c r="B15" s="1"/>
      <c r="C15" s="37">
        <f t="shared" si="1"/>
        <v>44506</v>
      </c>
      <c r="D15" s="87" t="str">
        <f t="shared" si="0"/>
        <v>土</v>
      </c>
      <c r="E15" s="76"/>
      <c r="F15" s="76"/>
      <c r="G15" s="77"/>
      <c r="H15" s="83"/>
      <c r="I15" s="84"/>
      <c r="J15" s="85"/>
      <c r="K15" s="85"/>
      <c r="L15" s="85"/>
      <c r="M15" s="85"/>
      <c r="O15" s="17" t="s">
        <v>170</v>
      </c>
      <c r="P15" s="18" t="s">
        <v>171</v>
      </c>
    </row>
    <row r="16" spans="1:16" ht="29.25" customHeight="1" x14ac:dyDescent="0.55000000000000004">
      <c r="B16" s="1"/>
      <c r="C16" s="37">
        <f t="shared" si="1"/>
        <v>44507</v>
      </c>
      <c r="D16" s="87" t="str">
        <f t="shared" si="0"/>
        <v>日</v>
      </c>
      <c r="E16" s="76"/>
      <c r="F16" s="76"/>
      <c r="G16" s="77"/>
      <c r="H16" s="83"/>
      <c r="I16" s="84"/>
      <c r="J16" s="85"/>
      <c r="K16" s="85"/>
      <c r="L16" s="85"/>
      <c r="M16" s="85"/>
      <c r="O16" s="17" t="s">
        <v>172</v>
      </c>
      <c r="P16" s="18" t="s">
        <v>173</v>
      </c>
    </row>
    <row r="17" spans="2:16" ht="29.25" customHeight="1" x14ac:dyDescent="0.55000000000000004">
      <c r="B17" s="1"/>
      <c r="C17" s="37">
        <f t="shared" si="1"/>
        <v>44508</v>
      </c>
      <c r="D17" s="87" t="str">
        <f t="shared" si="0"/>
        <v>月</v>
      </c>
      <c r="E17" s="76"/>
      <c r="F17" s="76"/>
      <c r="G17" s="77"/>
      <c r="H17" s="83"/>
      <c r="I17" s="84"/>
      <c r="J17" s="85"/>
      <c r="K17" s="85"/>
      <c r="L17" s="85"/>
      <c r="M17" s="85"/>
      <c r="O17" s="17" t="s">
        <v>174</v>
      </c>
      <c r="P17" s="18" t="s">
        <v>175</v>
      </c>
    </row>
    <row r="18" spans="2:16" ht="29.25" customHeight="1" x14ac:dyDescent="0.55000000000000004">
      <c r="B18" s="1"/>
      <c r="C18" s="37">
        <f t="shared" si="1"/>
        <v>44509</v>
      </c>
      <c r="D18" s="87" t="str">
        <f t="shared" si="0"/>
        <v>火</v>
      </c>
      <c r="E18" s="76"/>
      <c r="F18" s="76"/>
      <c r="G18" s="77"/>
      <c r="H18" s="83"/>
      <c r="I18" s="84"/>
      <c r="J18" s="85"/>
      <c r="K18" s="85"/>
      <c r="L18" s="85"/>
      <c r="M18" s="85"/>
      <c r="O18" s="17" t="s">
        <v>176</v>
      </c>
      <c r="P18" s="18" t="s">
        <v>177</v>
      </c>
    </row>
    <row r="19" spans="2:16" ht="29.25" customHeight="1" x14ac:dyDescent="0.55000000000000004">
      <c r="B19" s="1"/>
      <c r="C19" s="37">
        <f t="shared" si="1"/>
        <v>44510</v>
      </c>
      <c r="D19" s="87" t="str">
        <f t="shared" si="0"/>
        <v>水</v>
      </c>
      <c r="E19" s="76"/>
      <c r="F19" s="76"/>
      <c r="G19" s="77"/>
      <c r="H19" s="83"/>
      <c r="I19" s="84"/>
      <c r="J19" s="85"/>
      <c r="K19" s="85"/>
      <c r="L19" s="85"/>
      <c r="M19" s="85"/>
      <c r="O19" s="17" t="s">
        <v>178</v>
      </c>
      <c r="P19" s="18" t="s">
        <v>179</v>
      </c>
    </row>
    <row r="20" spans="2:16" ht="29.25" customHeight="1" x14ac:dyDescent="0.55000000000000004">
      <c r="B20" s="1"/>
      <c r="C20" s="37">
        <f t="shared" si="1"/>
        <v>44511</v>
      </c>
      <c r="D20" s="87" t="str">
        <f t="shared" si="0"/>
        <v>木</v>
      </c>
      <c r="E20" s="76"/>
      <c r="F20" s="76"/>
      <c r="G20" s="77"/>
      <c r="H20" s="83"/>
      <c r="I20" s="84"/>
      <c r="J20" s="85"/>
      <c r="K20" s="85"/>
      <c r="L20" s="85"/>
      <c r="M20" s="85"/>
      <c r="O20" s="17" t="s">
        <v>180</v>
      </c>
      <c r="P20" s="18" t="s">
        <v>181</v>
      </c>
    </row>
    <row r="21" spans="2:16" ht="29.25" customHeight="1" x14ac:dyDescent="0.55000000000000004">
      <c r="B21" s="1"/>
      <c r="C21" s="37">
        <f t="shared" si="1"/>
        <v>44512</v>
      </c>
      <c r="D21" s="87" t="str">
        <f t="shared" si="0"/>
        <v>金</v>
      </c>
      <c r="E21" s="76"/>
      <c r="F21" s="76"/>
      <c r="G21" s="77"/>
      <c r="H21" s="83"/>
      <c r="I21" s="84"/>
      <c r="J21" s="85"/>
      <c r="K21" s="85"/>
      <c r="L21" s="85"/>
      <c r="M21" s="85"/>
      <c r="O21" s="17" t="s">
        <v>182</v>
      </c>
      <c r="P21" s="18" t="s">
        <v>183</v>
      </c>
    </row>
    <row r="22" spans="2:16" ht="29.25" customHeight="1" x14ac:dyDescent="0.55000000000000004">
      <c r="B22" s="1"/>
      <c r="C22" s="37">
        <f t="shared" si="1"/>
        <v>44513</v>
      </c>
      <c r="D22" s="87" t="str">
        <f t="shared" si="0"/>
        <v>土</v>
      </c>
      <c r="E22" s="76"/>
      <c r="F22" s="76"/>
      <c r="G22" s="77"/>
      <c r="H22" s="83"/>
      <c r="I22" s="84"/>
      <c r="J22" s="85"/>
      <c r="K22" s="85"/>
      <c r="L22" s="85"/>
      <c r="M22" s="85"/>
      <c r="O22" s="17" t="s">
        <v>184</v>
      </c>
      <c r="P22" s="18" t="s">
        <v>185</v>
      </c>
    </row>
    <row r="23" spans="2:16" ht="29.25" customHeight="1" x14ac:dyDescent="0.55000000000000004">
      <c r="B23" s="1"/>
      <c r="C23" s="37">
        <f t="shared" si="1"/>
        <v>44514</v>
      </c>
      <c r="D23" s="87" t="str">
        <f t="shared" si="0"/>
        <v>日</v>
      </c>
      <c r="E23" s="76"/>
      <c r="F23" s="76"/>
      <c r="G23" s="77"/>
      <c r="H23" s="83"/>
      <c r="I23" s="84"/>
      <c r="J23" s="85"/>
      <c r="K23" s="85"/>
      <c r="L23" s="85"/>
      <c r="M23" s="85"/>
      <c r="O23" s="17" t="s">
        <v>186</v>
      </c>
      <c r="P23" s="18" t="s">
        <v>187</v>
      </c>
    </row>
    <row r="24" spans="2:16" ht="29.25" customHeight="1" x14ac:dyDescent="0.55000000000000004">
      <c r="B24" s="1"/>
      <c r="C24" s="37">
        <f t="shared" si="1"/>
        <v>44515</v>
      </c>
      <c r="D24" s="87" t="str">
        <f t="shared" si="0"/>
        <v>月</v>
      </c>
      <c r="E24" s="76"/>
      <c r="F24" s="76"/>
      <c r="G24" s="77"/>
      <c r="H24" s="83"/>
      <c r="I24" s="84"/>
      <c r="J24" s="85"/>
      <c r="K24" s="85"/>
      <c r="L24" s="85"/>
      <c r="M24" s="85"/>
      <c r="O24" s="17" t="s">
        <v>188</v>
      </c>
      <c r="P24" s="18" t="s">
        <v>189</v>
      </c>
    </row>
    <row r="25" spans="2:16" ht="29.25" customHeight="1" x14ac:dyDescent="0.55000000000000004">
      <c r="B25" s="1"/>
      <c r="C25" s="37">
        <f t="shared" si="1"/>
        <v>44516</v>
      </c>
      <c r="D25" s="87" t="str">
        <f t="shared" si="0"/>
        <v>火</v>
      </c>
      <c r="E25" s="76"/>
      <c r="F25" s="76"/>
      <c r="G25" s="77"/>
      <c r="H25" s="83"/>
      <c r="I25" s="84"/>
      <c r="J25" s="85"/>
      <c r="K25" s="85"/>
      <c r="L25" s="85"/>
      <c r="M25" s="85"/>
      <c r="O25" s="17" t="s">
        <v>190</v>
      </c>
      <c r="P25" s="18" t="s">
        <v>191</v>
      </c>
    </row>
    <row r="26" spans="2:16" ht="29.25" customHeight="1" x14ac:dyDescent="0.55000000000000004">
      <c r="B26" s="1"/>
      <c r="C26" s="37">
        <f t="shared" si="1"/>
        <v>44517</v>
      </c>
      <c r="D26" s="87" t="str">
        <f t="shared" si="0"/>
        <v>水</v>
      </c>
      <c r="E26" s="76"/>
      <c r="F26" s="76"/>
      <c r="G26" s="77"/>
      <c r="H26" s="83"/>
      <c r="I26" s="84"/>
      <c r="J26" s="85"/>
      <c r="K26" s="85"/>
      <c r="L26" s="85"/>
      <c r="M26" s="85"/>
      <c r="O26" s="17" t="s">
        <v>192</v>
      </c>
      <c r="P26" s="18" t="s">
        <v>193</v>
      </c>
    </row>
    <row r="27" spans="2:16" ht="29.25" customHeight="1" x14ac:dyDescent="0.55000000000000004">
      <c r="B27" s="1"/>
      <c r="C27" s="37">
        <f t="shared" si="1"/>
        <v>44518</v>
      </c>
      <c r="D27" s="87" t="str">
        <f t="shared" si="0"/>
        <v>木</v>
      </c>
      <c r="E27" s="76"/>
      <c r="F27" s="76"/>
      <c r="G27" s="77"/>
      <c r="H27" s="83"/>
      <c r="I27" s="84"/>
      <c r="J27" s="85"/>
      <c r="K27" s="85"/>
      <c r="L27" s="85"/>
      <c r="M27" s="85"/>
      <c r="O27" s="17" t="s">
        <v>194</v>
      </c>
      <c r="P27" s="18" t="s">
        <v>195</v>
      </c>
    </row>
    <row r="28" spans="2:16" ht="29.25" customHeight="1" x14ac:dyDescent="0.55000000000000004">
      <c r="B28" s="1"/>
      <c r="C28" s="37">
        <f t="shared" si="1"/>
        <v>44519</v>
      </c>
      <c r="D28" s="87" t="str">
        <f t="shared" si="0"/>
        <v>金</v>
      </c>
      <c r="E28" s="76"/>
      <c r="F28" s="76"/>
      <c r="G28" s="77"/>
      <c r="H28" s="83"/>
      <c r="I28" s="84"/>
      <c r="J28" s="85"/>
      <c r="K28" s="85"/>
      <c r="L28" s="85"/>
      <c r="M28" s="85"/>
      <c r="O28" s="17" t="s">
        <v>196</v>
      </c>
      <c r="P28" s="18" t="s">
        <v>197</v>
      </c>
    </row>
    <row r="29" spans="2:16" ht="29.25" customHeight="1" x14ac:dyDescent="0.55000000000000004">
      <c r="B29" s="1"/>
      <c r="C29" s="37">
        <f t="shared" si="1"/>
        <v>44520</v>
      </c>
      <c r="D29" s="87" t="str">
        <f t="shared" si="0"/>
        <v>土</v>
      </c>
      <c r="E29" s="76"/>
      <c r="F29" s="76"/>
      <c r="G29" s="77"/>
      <c r="H29" s="83"/>
      <c r="I29" s="84"/>
      <c r="J29" s="85"/>
      <c r="K29" s="85"/>
      <c r="L29" s="85"/>
      <c r="M29" s="85"/>
      <c r="O29" s="17" t="s">
        <v>198</v>
      </c>
      <c r="P29" s="18" t="s">
        <v>199</v>
      </c>
    </row>
    <row r="30" spans="2:16" ht="29.25" customHeight="1" x14ac:dyDescent="0.55000000000000004">
      <c r="B30" s="1"/>
      <c r="C30" s="37">
        <f t="shared" si="1"/>
        <v>44521</v>
      </c>
      <c r="D30" s="87" t="str">
        <f t="shared" si="0"/>
        <v>日</v>
      </c>
      <c r="E30" s="76"/>
      <c r="F30" s="76"/>
      <c r="G30" s="77"/>
      <c r="H30" s="83"/>
      <c r="I30" s="84"/>
      <c r="J30" s="85"/>
      <c r="K30" s="85"/>
      <c r="L30" s="85"/>
      <c r="M30" s="85"/>
      <c r="O30" s="17" t="s">
        <v>200</v>
      </c>
      <c r="P30" s="18" t="s">
        <v>201</v>
      </c>
    </row>
    <row r="31" spans="2:16" ht="29.25" customHeight="1" x14ac:dyDescent="0.55000000000000004">
      <c r="B31" s="1"/>
      <c r="C31" s="37">
        <f t="shared" si="1"/>
        <v>44522</v>
      </c>
      <c r="D31" s="87" t="str">
        <f t="shared" si="0"/>
        <v>月</v>
      </c>
      <c r="E31" s="76"/>
      <c r="F31" s="76"/>
      <c r="G31" s="77"/>
      <c r="H31" s="83"/>
      <c r="I31" s="84"/>
      <c r="J31" s="85"/>
      <c r="K31" s="85"/>
      <c r="L31" s="85"/>
      <c r="M31" s="85"/>
      <c r="O31" s="17" t="s">
        <v>202</v>
      </c>
      <c r="P31" s="18" t="s">
        <v>203</v>
      </c>
    </row>
    <row r="32" spans="2:16" ht="29.25" customHeight="1" x14ac:dyDescent="0.55000000000000004">
      <c r="B32" s="1"/>
      <c r="C32" s="37">
        <f t="shared" si="1"/>
        <v>44523</v>
      </c>
      <c r="D32" s="87" t="str">
        <f t="shared" si="0"/>
        <v>火</v>
      </c>
      <c r="E32" s="76"/>
      <c r="F32" s="76"/>
      <c r="G32" s="77"/>
      <c r="H32" s="83"/>
      <c r="I32" s="84"/>
      <c r="J32" s="85"/>
      <c r="K32" s="85"/>
      <c r="L32" s="85"/>
      <c r="M32" s="85"/>
      <c r="O32" s="17" t="s">
        <v>204</v>
      </c>
      <c r="P32" s="18" t="s">
        <v>205</v>
      </c>
    </row>
    <row r="33" spans="2:16" ht="29.25" customHeight="1" x14ac:dyDescent="0.55000000000000004">
      <c r="B33" s="1"/>
      <c r="C33" s="37">
        <f t="shared" si="1"/>
        <v>44524</v>
      </c>
      <c r="D33" s="87" t="str">
        <f t="shared" si="0"/>
        <v>水</v>
      </c>
      <c r="E33" s="76"/>
      <c r="F33" s="76"/>
      <c r="G33" s="77"/>
      <c r="H33" s="83"/>
      <c r="I33" s="84"/>
      <c r="J33" s="85"/>
      <c r="K33" s="85"/>
      <c r="L33" s="85"/>
      <c r="M33" s="85"/>
      <c r="O33" s="17" t="s">
        <v>206</v>
      </c>
      <c r="P33" s="18" t="s">
        <v>207</v>
      </c>
    </row>
    <row r="34" spans="2:16" ht="29.25" customHeight="1" x14ac:dyDescent="0.55000000000000004">
      <c r="B34" s="1"/>
      <c r="C34" s="37">
        <f t="shared" si="1"/>
        <v>44525</v>
      </c>
      <c r="D34" s="87" t="str">
        <f t="shared" si="0"/>
        <v>木</v>
      </c>
      <c r="E34" s="76"/>
      <c r="F34" s="76"/>
      <c r="G34" s="77"/>
      <c r="H34" s="83"/>
      <c r="I34" s="84"/>
      <c r="J34" s="85"/>
      <c r="K34" s="85"/>
      <c r="L34" s="85"/>
      <c r="M34" s="85"/>
      <c r="O34" s="17" t="s">
        <v>323</v>
      </c>
      <c r="P34" s="18" t="s">
        <v>268</v>
      </c>
    </row>
    <row r="35" spans="2:16" ht="29.25" customHeight="1" x14ac:dyDescent="0.55000000000000004">
      <c r="B35" s="1"/>
      <c r="C35" s="37">
        <f t="shared" si="1"/>
        <v>44526</v>
      </c>
      <c r="D35" s="87" t="str">
        <f t="shared" si="0"/>
        <v>金</v>
      </c>
      <c r="E35" s="76"/>
      <c r="F35" s="76"/>
      <c r="G35" s="77"/>
      <c r="H35" s="83"/>
      <c r="I35" s="84"/>
      <c r="J35" s="85"/>
      <c r="K35" s="85"/>
      <c r="L35" s="85"/>
      <c r="M35" s="85"/>
      <c r="O35" s="17" t="s">
        <v>324</v>
      </c>
      <c r="P35" s="18" t="s">
        <v>269</v>
      </c>
    </row>
    <row r="36" spans="2:16" ht="29.25" customHeight="1" x14ac:dyDescent="0.55000000000000004">
      <c r="B36" s="1"/>
      <c r="C36" s="37">
        <f t="shared" si="1"/>
        <v>44527</v>
      </c>
      <c r="D36" s="87" t="str">
        <f t="shared" si="0"/>
        <v>土</v>
      </c>
      <c r="E36" s="76"/>
      <c r="F36" s="76"/>
      <c r="G36" s="77"/>
      <c r="H36" s="83"/>
      <c r="I36" s="84"/>
      <c r="J36" s="85"/>
      <c r="K36" s="85"/>
      <c r="L36" s="85"/>
      <c r="M36" s="85"/>
      <c r="O36" s="17" t="s">
        <v>325</v>
      </c>
      <c r="P36" s="18" t="s">
        <v>270</v>
      </c>
    </row>
    <row r="37" spans="2:16" ht="29.25" customHeight="1" x14ac:dyDescent="0.55000000000000004">
      <c r="B37" s="1"/>
      <c r="C37" s="37">
        <f t="shared" si="1"/>
        <v>44528</v>
      </c>
      <c r="D37" s="87" t="str">
        <f t="shared" si="0"/>
        <v>日</v>
      </c>
      <c r="E37" s="76"/>
      <c r="F37" s="76"/>
      <c r="G37" s="77"/>
      <c r="H37" s="83"/>
      <c r="I37" s="84"/>
      <c r="J37" s="85"/>
      <c r="K37" s="85"/>
      <c r="L37" s="85"/>
      <c r="M37" s="85"/>
      <c r="O37" s="17" t="s">
        <v>474</v>
      </c>
      <c r="P37" s="18" t="s">
        <v>475</v>
      </c>
    </row>
    <row r="38" spans="2:16" s="34" customFormat="1" ht="29.25" customHeight="1" x14ac:dyDescent="0.55000000000000004">
      <c r="B38" s="1"/>
      <c r="C38" s="37">
        <f>IF(C37="","",IF(DAY(C37+1)=1,"",C37+1))</f>
        <v>44529</v>
      </c>
      <c r="D38" s="87" t="str">
        <f t="shared" si="0"/>
        <v>月</v>
      </c>
      <c r="E38" s="76"/>
      <c r="F38" s="76"/>
      <c r="G38" s="77"/>
      <c r="H38" s="83"/>
      <c r="I38" s="84"/>
      <c r="J38" s="85"/>
      <c r="K38" s="85"/>
      <c r="L38" s="85"/>
      <c r="M38" s="85"/>
      <c r="O38" s="17" t="s">
        <v>476</v>
      </c>
      <c r="P38" s="18" t="s">
        <v>477</v>
      </c>
    </row>
    <row r="39" spans="2:16" ht="29.25" customHeight="1" x14ac:dyDescent="0.55000000000000004">
      <c r="B39" s="1"/>
      <c r="C39" s="37">
        <f t="shared" ref="C39:C40" si="2">IF(C38="","",IF(DAY(C38+1)=1,"",C38+1))</f>
        <v>44530</v>
      </c>
      <c r="D39" s="87" t="str">
        <f t="shared" si="0"/>
        <v>火</v>
      </c>
      <c r="E39" s="76"/>
      <c r="F39" s="76"/>
      <c r="G39" s="77"/>
      <c r="H39" s="83"/>
      <c r="I39" s="84"/>
      <c r="J39" s="85"/>
      <c r="K39" s="85"/>
      <c r="L39" s="85"/>
      <c r="M39" s="85"/>
      <c r="O39" s="17" t="s">
        <v>208</v>
      </c>
      <c r="P39" s="18" t="s">
        <v>209</v>
      </c>
    </row>
    <row r="40" spans="2:16" s="34" customFormat="1" ht="29.25" customHeight="1" x14ac:dyDescent="0.55000000000000004">
      <c r="B40" s="1"/>
      <c r="C40" s="37" t="str">
        <f t="shared" si="2"/>
        <v/>
      </c>
      <c r="D40" s="87" t="str">
        <f t="shared" si="0"/>
        <v/>
      </c>
      <c r="E40" s="76"/>
      <c r="F40" s="76"/>
      <c r="G40" s="77"/>
      <c r="H40" s="83"/>
      <c r="I40" s="84"/>
      <c r="J40" s="85"/>
      <c r="K40" s="85"/>
      <c r="L40" s="85"/>
      <c r="M40" s="85"/>
      <c r="O40" s="17" t="s">
        <v>210</v>
      </c>
      <c r="P40" s="18" t="s">
        <v>211</v>
      </c>
    </row>
    <row r="41" spans="2:16" x14ac:dyDescent="0.55000000000000004">
      <c r="O41" s="17" t="s">
        <v>212</v>
      </c>
      <c r="P41" s="18" t="s">
        <v>213</v>
      </c>
    </row>
    <row r="42" spans="2:16" ht="10.5" customHeight="1" x14ac:dyDescent="0.55000000000000004">
      <c r="O42" s="17" t="s">
        <v>214</v>
      </c>
      <c r="P42" s="18" t="s">
        <v>215</v>
      </c>
    </row>
    <row r="43" spans="2:16" ht="10.5" customHeight="1" x14ac:dyDescent="0.55000000000000004">
      <c r="O43" s="17" t="s">
        <v>216</v>
      </c>
      <c r="P43" s="18" t="s">
        <v>217</v>
      </c>
    </row>
    <row r="44" spans="2:16" ht="10.5" customHeight="1" x14ac:dyDescent="0.55000000000000004">
      <c r="C44" s="9"/>
      <c r="O44" s="17" t="s">
        <v>218</v>
      </c>
      <c r="P44" s="18" t="s">
        <v>219</v>
      </c>
    </row>
    <row r="45" spans="2:16" ht="10.5" customHeight="1" x14ac:dyDescent="0.55000000000000004">
      <c r="O45" s="17" t="s">
        <v>220</v>
      </c>
      <c r="P45" s="18" t="s">
        <v>221</v>
      </c>
    </row>
    <row r="46" spans="2:16" ht="10.5" customHeight="1" x14ac:dyDescent="0.55000000000000004">
      <c r="O46" s="17" t="s">
        <v>222</v>
      </c>
      <c r="P46" s="18" t="s">
        <v>223</v>
      </c>
    </row>
    <row r="47" spans="2:16" ht="10.5" customHeight="1" x14ac:dyDescent="0.55000000000000004">
      <c r="O47" s="17" t="s">
        <v>224</v>
      </c>
      <c r="P47" s="18" t="s">
        <v>225</v>
      </c>
    </row>
    <row r="48" spans="2:16" s="34" customFormat="1" ht="10.5" customHeight="1" x14ac:dyDescent="0.55000000000000004">
      <c r="D48" s="36"/>
      <c r="O48" s="17" t="s">
        <v>326</v>
      </c>
      <c r="P48" s="18" t="s">
        <v>312</v>
      </c>
    </row>
    <row r="49" spans="4:16" ht="10.5" customHeight="1" x14ac:dyDescent="0.55000000000000004">
      <c r="O49" s="17" t="s">
        <v>327</v>
      </c>
      <c r="P49" s="18" t="s">
        <v>313</v>
      </c>
    </row>
    <row r="50" spans="4:16" ht="10.5" customHeight="1" x14ac:dyDescent="0.55000000000000004">
      <c r="O50" s="17" t="s">
        <v>226</v>
      </c>
      <c r="P50" s="18" t="s">
        <v>227</v>
      </c>
    </row>
    <row r="51" spans="4:16" ht="10.5" customHeight="1" x14ac:dyDescent="0.55000000000000004">
      <c r="O51" s="17" t="s">
        <v>228</v>
      </c>
      <c r="P51" s="18" t="s">
        <v>229</v>
      </c>
    </row>
    <row r="52" spans="4:16" ht="10.5" customHeight="1" x14ac:dyDescent="0.55000000000000004">
      <c r="O52" s="17" t="s">
        <v>230</v>
      </c>
      <c r="P52" s="18" t="s">
        <v>231</v>
      </c>
    </row>
    <row r="53" spans="4:16" ht="10.5" customHeight="1" x14ac:dyDescent="0.55000000000000004">
      <c r="O53" s="17" t="s">
        <v>232</v>
      </c>
      <c r="P53" s="18" t="s">
        <v>233</v>
      </c>
    </row>
    <row r="54" spans="4:16" ht="11.15" customHeight="1" x14ac:dyDescent="0.55000000000000004">
      <c r="O54" s="17" t="s">
        <v>234</v>
      </c>
      <c r="P54" s="18" t="s">
        <v>235</v>
      </c>
    </row>
    <row r="55" spans="4:16" ht="10.5" customHeight="1" x14ac:dyDescent="0.55000000000000004">
      <c r="O55" s="17" t="s">
        <v>236</v>
      </c>
      <c r="P55" s="18" t="s">
        <v>237</v>
      </c>
    </row>
    <row r="56" spans="4:16" s="34" customFormat="1" ht="10.5" customHeight="1" x14ac:dyDescent="0.55000000000000004">
      <c r="D56" s="36"/>
      <c r="O56" s="17" t="s">
        <v>316</v>
      </c>
      <c r="P56" s="18" t="s">
        <v>314</v>
      </c>
    </row>
    <row r="57" spans="4:16" ht="10.5" customHeight="1" x14ac:dyDescent="0.55000000000000004">
      <c r="O57" s="17" t="s">
        <v>317</v>
      </c>
      <c r="P57" s="18" t="s">
        <v>315</v>
      </c>
    </row>
    <row r="58" spans="4:16" ht="10.5" customHeight="1" x14ac:dyDescent="0.55000000000000004">
      <c r="O58" s="17" t="s">
        <v>238</v>
      </c>
      <c r="P58" s="18" t="s">
        <v>239</v>
      </c>
    </row>
    <row r="59" spans="4:16" ht="10.5" customHeight="1" x14ac:dyDescent="0.55000000000000004">
      <c r="O59" s="17" t="s">
        <v>240</v>
      </c>
      <c r="P59" s="18" t="s">
        <v>241</v>
      </c>
    </row>
    <row r="60" spans="4:16" ht="10.5" customHeight="1" x14ac:dyDescent="0.55000000000000004">
      <c r="O60" s="17" t="s">
        <v>242</v>
      </c>
      <c r="P60" s="18" t="s">
        <v>243</v>
      </c>
    </row>
    <row r="61" spans="4:16" s="34" customFormat="1" ht="10.5" customHeight="1" x14ac:dyDescent="0.55000000000000004">
      <c r="D61" s="36"/>
      <c r="O61" s="17" t="s">
        <v>318</v>
      </c>
      <c r="P61" s="18" t="s">
        <v>320</v>
      </c>
    </row>
    <row r="62" spans="4:16" ht="10.5" customHeight="1" x14ac:dyDescent="0.55000000000000004">
      <c r="O62" s="17" t="s">
        <v>319</v>
      </c>
      <c r="P62" s="18" t="s">
        <v>321</v>
      </c>
    </row>
    <row r="63" spans="4:16" ht="10.5" customHeight="1" x14ac:dyDescent="0.55000000000000004">
      <c r="O63" s="17" t="s">
        <v>244</v>
      </c>
      <c r="P63" s="18" t="s">
        <v>245</v>
      </c>
    </row>
    <row r="64" spans="4:16" ht="10.5" customHeight="1" x14ac:dyDescent="0.55000000000000004">
      <c r="O64" s="17" t="s">
        <v>246</v>
      </c>
      <c r="P64" s="18" t="s">
        <v>247</v>
      </c>
    </row>
    <row r="65" spans="15:16" ht="10.5" customHeight="1" x14ac:dyDescent="0.55000000000000004">
      <c r="O65" s="17" t="s">
        <v>248</v>
      </c>
      <c r="P65" s="18" t="s">
        <v>249</v>
      </c>
    </row>
    <row r="66" spans="15:16" ht="10.5" customHeight="1" x14ac:dyDescent="0.55000000000000004">
      <c r="O66" s="17" t="s">
        <v>250</v>
      </c>
      <c r="P66" s="18" t="s">
        <v>251</v>
      </c>
    </row>
    <row r="67" spans="15:16" ht="10.5" customHeight="1" x14ac:dyDescent="0.55000000000000004">
      <c r="O67" s="17" t="s">
        <v>252</v>
      </c>
      <c r="P67" s="18" t="s">
        <v>253</v>
      </c>
    </row>
    <row r="68" spans="15:16" ht="10.5" customHeight="1" x14ac:dyDescent="0.55000000000000004">
      <c r="O68" s="17" t="s">
        <v>254</v>
      </c>
      <c r="P68" s="19" t="s">
        <v>255</v>
      </c>
    </row>
    <row r="69" spans="15:16" ht="10.5" customHeight="1" x14ac:dyDescent="0.55000000000000004">
      <c r="O69" s="17" t="s">
        <v>256</v>
      </c>
      <c r="P69" s="19" t="s">
        <v>257</v>
      </c>
    </row>
    <row r="70" spans="15:16" ht="10.5" customHeight="1" x14ac:dyDescent="0.55000000000000004">
      <c r="O70" s="17" t="s">
        <v>258</v>
      </c>
      <c r="P70" s="19" t="s">
        <v>322</v>
      </c>
    </row>
    <row r="71" spans="15:16" ht="10.5" customHeight="1" x14ac:dyDescent="0.55000000000000004">
      <c r="O71" s="17" t="s">
        <v>259</v>
      </c>
      <c r="P71" s="19" t="s">
        <v>260</v>
      </c>
    </row>
    <row r="72" spans="15:16" ht="10.5" customHeight="1" x14ac:dyDescent="0.55000000000000004">
      <c r="O72" s="17" t="s">
        <v>261</v>
      </c>
      <c r="P72" s="19" t="s">
        <v>262</v>
      </c>
    </row>
    <row r="73" spans="15:16" ht="10.5" customHeight="1" x14ac:dyDescent="0.55000000000000004">
      <c r="O73" s="17" t="s">
        <v>263</v>
      </c>
      <c r="P73" s="20" t="s">
        <v>264</v>
      </c>
    </row>
    <row r="74" spans="15:16" ht="10.5" customHeight="1" x14ac:dyDescent="0.55000000000000004">
      <c r="P74" s="20" t="s">
        <v>473</v>
      </c>
    </row>
    <row r="75" spans="15:16" x14ac:dyDescent="0.55000000000000004">
      <c r="O75" s="33" t="s">
        <v>310</v>
      </c>
    </row>
    <row r="76" spans="15:16" x14ac:dyDescent="0.55000000000000004">
      <c r="O76">
        <v>1</v>
      </c>
      <c r="P76">
        <v>31</v>
      </c>
    </row>
    <row r="77" spans="15:16" x14ac:dyDescent="0.55000000000000004">
      <c r="O77">
        <v>2</v>
      </c>
      <c r="P77" s="34">
        <f>IF(MOD(YEAR($L$1),4)=0,29,28)</f>
        <v>28</v>
      </c>
    </row>
    <row r="78" spans="15:16" x14ac:dyDescent="0.55000000000000004">
      <c r="O78">
        <v>3</v>
      </c>
      <c r="P78">
        <v>31</v>
      </c>
    </row>
    <row r="79" spans="15:16" x14ac:dyDescent="0.55000000000000004">
      <c r="O79">
        <v>4</v>
      </c>
      <c r="P79">
        <v>30</v>
      </c>
    </row>
    <row r="80" spans="15:16" x14ac:dyDescent="0.55000000000000004">
      <c r="O80">
        <v>5</v>
      </c>
      <c r="P80">
        <v>31</v>
      </c>
    </row>
    <row r="81" spans="15:16" x14ac:dyDescent="0.55000000000000004">
      <c r="O81">
        <v>6</v>
      </c>
      <c r="P81">
        <v>30</v>
      </c>
    </row>
    <row r="82" spans="15:16" x14ac:dyDescent="0.55000000000000004">
      <c r="O82">
        <v>7</v>
      </c>
      <c r="P82">
        <v>31</v>
      </c>
    </row>
    <row r="83" spans="15:16" x14ac:dyDescent="0.55000000000000004">
      <c r="O83">
        <v>8</v>
      </c>
      <c r="P83">
        <v>31</v>
      </c>
    </row>
    <row r="84" spans="15:16" x14ac:dyDescent="0.55000000000000004">
      <c r="O84">
        <v>9</v>
      </c>
      <c r="P84">
        <v>30</v>
      </c>
    </row>
    <row r="85" spans="15:16" x14ac:dyDescent="0.55000000000000004">
      <c r="O85">
        <v>10</v>
      </c>
      <c r="P85">
        <v>31</v>
      </c>
    </row>
    <row r="86" spans="15:16" x14ac:dyDescent="0.55000000000000004">
      <c r="O86">
        <v>11</v>
      </c>
      <c r="P86">
        <v>30</v>
      </c>
    </row>
    <row r="87" spans="15:16" x14ac:dyDescent="0.55000000000000004">
      <c r="O87">
        <v>12</v>
      </c>
      <c r="P87">
        <v>31</v>
      </c>
    </row>
  </sheetData>
  <mergeCells count="20">
    <mergeCell ref="A1:A2"/>
    <mergeCell ref="L1:L2"/>
    <mergeCell ref="M1:M2"/>
    <mergeCell ref="H1:H2"/>
    <mergeCell ref="K1:K2"/>
    <mergeCell ref="D1:F2"/>
    <mergeCell ref="B1:C2"/>
    <mergeCell ref="H3:J3"/>
    <mergeCell ref="C4:D4"/>
    <mergeCell ref="I8:I9"/>
    <mergeCell ref="J8:L8"/>
    <mergeCell ref="L4:M4"/>
    <mergeCell ref="H5:J5"/>
    <mergeCell ref="B6:D6"/>
    <mergeCell ref="M8:M9"/>
    <mergeCell ref="B8:B9"/>
    <mergeCell ref="C8:D8"/>
    <mergeCell ref="E8:F8"/>
    <mergeCell ref="G8:H8"/>
    <mergeCell ref="E4:G4"/>
  </mergeCells>
  <phoneticPr fontId="1"/>
  <conditionalFormatting sqref="B10:M10 D11:D40 E11:J39">
    <cfRule type="expression" dxfId="33" priority="50">
      <formula>$D10="日"</formula>
    </cfRule>
    <cfRule type="expression" dxfId="32" priority="54">
      <formula>$D10="土"</formula>
    </cfRule>
    <cfRule type="expression" dxfId="31" priority="57">
      <formula>$D10="木"</formula>
    </cfRule>
    <cfRule type="expression" dxfId="30" priority="59">
      <formula>$D10="火"</formula>
    </cfRule>
  </conditionalFormatting>
  <conditionalFormatting sqref="C10:D10 D11:D40">
    <cfRule type="expression" dxfId="29" priority="39">
      <formula>$D10="日"</formula>
    </cfRule>
    <cfRule type="expression" dxfId="28" priority="45">
      <formula>$D10="土"</formula>
    </cfRule>
  </conditionalFormatting>
  <conditionalFormatting sqref="B10:M10 D11:D40 E11:J39">
    <cfRule type="expression" dxfId="27" priority="32">
      <formula>$D10="Sat"</formula>
    </cfRule>
    <cfRule type="expression" dxfId="26" priority="31">
      <formula>$D10="Sun"</formula>
    </cfRule>
    <cfRule type="expression" dxfId="25" priority="30">
      <formula>$D10="Tue"</formula>
    </cfRule>
    <cfRule type="expression" dxfId="24" priority="29">
      <formula>$D10="Thu"</formula>
    </cfRule>
  </conditionalFormatting>
  <conditionalFormatting sqref="E40:M40 B11:B40 K11:M39">
    <cfRule type="expression" dxfId="23" priority="25">
      <formula>$D11="日"</formula>
    </cfRule>
    <cfRule type="expression" dxfId="22" priority="26">
      <formula>$D11="土"</formula>
    </cfRule>
    <cfRule type="expression" dxfId="21" priority="27">
      <formula>$D11="木"</formula>
    </cfRule>
    <cfRule type="expression" dxfId="20" priority="28">
      <formula>$D11="火"</formula>
    </cfRule>
  </conditionalFormatting>
  <conditionalFormatting sqref="E40:M40 B11:B40 K11:M39">
    <cfRule type="expression" dxfId="19" priority="19">
      <formula>$D11="Thu"</formula>
    </cfRule>
    <cfRule type="expression" dxfId="18" priority="20">
      <formula>$D11="Tue"</formula>
    </cfRule>
    <cfRule type="expression" dxfId="17" priority="21">
      <formula>$D11="Sun"</formula>
    </cfRule>
    <cfRule type="expression" dxfId="16" priority="22">
      <formula>$D11="Sat"</formula>
    </cfRule>
  </conditionalFormatting>
  <conditionalFormatting sqref="C10:D10 D11:D40">
    <cfRule type="expression" dxfId="15" priority="18">
      <formula>$D10="Sat"</formula>
    </cfRule>
    <cfRule type="expression" dxfId="14" priority="17">
      <formula>$D10="Sat"</formula>
    </cfRule>
    <cfRule type="expression" dxfId="13" priority="16">
      <formula>$D10="Sun"</formula>
    </cfRule>
    <cfRule type="expression" priority="15">
      <formula>$D10="Tue"</formula>
    </cfRule>
  </conditionalFormatting>
  <conditionalFormatting sqref="C11:C40">
    <cfRule type="expression" dxfId="12" priority="11">
      <formula>$D11="日"</formula>
    </cfRule>
    <cfRule type="expression" dxfId="11" priority="12">
      <formula>$D11="土"</formula>
    </cfRule>
    <cfRule type="expression" dxfId="10" priority="13">
      <formula>$D11="木"</formula>
    </cfRule>
    <cfRule type="expression" dxfId="9" priority="14">
      <formula>$D11="火"</formula>
    </cfRule>
  </conditionalFormatting>
  <conditionalFormatting sqref="C11:C40">
    <cfRule type="expression" dxfId="8" priority="9">
      <formula>$D11="日"</formula>
    </cfRule>
    <cfRule type="expression" dxfId="7" priority="10">
      <formula>$D11="土"</formula>
    </cfRule>
  </conditionalFormatting>
  <conditionalFormatting sqref="C11:C40">
    <cfRule type="expression" dxfId="6" priority="5">
      <formula>$D11="Thu"</formula>
    </cfRule>
    <cfRule type="expression" dxfId="5" priority="6">
      <formula>$D11="Tue"</formula>
    </cfRule>
    <cfRule type="expression" dxfId="4" priority="7">
      <formula>$D11="Sun"</formula>
    </cfRule>
    <cfRule type="expression" dxfId="3" priority="8">
      <formula>$D11="Sat"</formula>
    </cfRule>
  </conditionalFormatting>
  <conditionalFormatting sqref="C11:C40">
    <cfRule type="expression" priority="1">
      <formula>$D11="Tue"</formula>
    </cfRule>
    <cfRule type="expression" dxfId="2" priority="2">
      <formula>$D11="Sun"</formula>
    </cfRule>
    <cfRule type="expression" dxfId="1" priority="3">
      <formula>$D11="Sat"</formula>
    </cfRule>
    <cfRule type="expression" dxfId="0" priority="4">
      <formula>$D11="Sat"</formula>
    </cfRule>
  </conditionalFormatting>
  <dataValidations count="8">
    <dataValidation type="list" allowBlank="1" showInputMessage="1" sqref="E10:E39" xr:uid="{45F387B3-C5C6-4D88-8CF6-1FEE5436BC4B}">
      <formula1>"8:00 ,9:00,10:45,12:55,14:40,16:20,18:00,19:40,"</formula1>
    </dataValidation>
    <dataValidation type="list" allowBlank="1" sqref="E40" xr:uid="{C832273B-7B15-45BB-B6A9-203EDB0CE9A5}">
      <formula1>"8:00 ,9:00,10:45,12:55,14:40,16:20,18:00,19:40,"</formula1>
    </dataValidation>
    <dataValidation type="list" allowBlank="1" showInputMessage="1" showErrorMessage="1" sqref="B10:B40" xr:uid="{37A380E9-E6B8-40B7-9A20-E4AC4000FCF0}">
      <formula1>",1"</formula1>
    </dataValidation>
    <dataValidation type="list" allowBlank="1" showInputMessage="1" sqref="G10:G40" xr:uid="{3973FF71-E20F-4F41-A439-A1A091B96B8C}">
      <formula1>"衣笠,OIC,BKC"</formula1>
    </dataValidation>
    <dataValidation type="list" allowBlank="1" showInputMessage="1" sqref="F10:F40" xr:uid="{B5E21AE5-1AE1-404D-A292-4C2C36ED4002}">
      <formula1>"9:00,10:30,12:40,14:25,16:10,17:50,19:00,19:30,21:00,21:30,22:00"</formula1>
    </dataValidation>
    <dataValidation type="list" allowBlank="1" showInputMessage="1" sqref="H10:H40" xr:uid="{F8331077-24BE-4544-96FF-3A74CAABCB06}">
      <formula1>INDIRECT(G10)</formula1>
    </dataValidation>
    <dataValidation type="list" allowBlank="1" showInputMessage="1" showErrorMessage="1" sqref="G2" xr:uid="{1C1B7A8A-5DBB-4300-B588-8AEE1866A305}">
      <formula1>$P$8:$P$73</formula1>
    </dataValidation>
    <dataValidation type="list" allowBlank="1" showInputMessage="1" sqref="D1:F2" xr:uid="{344F82F0-0BF6-4F5D-AD36-BFA5615CFD00}">
      <formula1>P$8:P$74</formula1>
    </dataValidation>
  </dataValidations>
  <pageMargins left="0.70866141732283472" right="0.31496062992125984" top="0.74803149606299213" bottom="0.74803149606299213" header="0.31496062992125984" footer="0.31496062992125984"/>
  <pageSetup paperSize="9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1">
                <anchor moveWithCells="1" sizeWithCells="1">
                  <from>
                    <xdr:col>4</xdr:col>
                    <xdr:colOff>0</xdr:colOff>
                    <xdr:row>4</xdr:row>
                    <xdr:rowOff>203200</xdr:rowOff>
                  </from>
                  <to>
                    <xdr:col>4</xdr:col>
                    <xdr:colOff>895350</xdr:colOff>
                    <xdr:row>6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1">
                <anchor moveWithCells="1" sizeWithCells="1">
                  <from>
                    <xdr:col>5</xdr:col>
                    <xdr:colOff>50800</xdr:colOff>
                    <xdr:row>4</xdr:row>
                    <xdr:rowOff>203200</xdr:rowOff>
                  </from>
                  <to>
                    <xdr:col>5</xdr:col>
                    <xdr:colOff>946150</xdr:colOff>
                    <xdr:row>6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5626-323A-43D9-9B1C-192540C2544E}">
  <sheetPr codeName="Sheet3">
    <pageSetUpPr fitToPage="1"/>
  </sheetPr>
  <dimension ref="A1:Q18"/>
  <sheetViews>
    <sheetView workbookViewId="0">
      <selection activeCell="E20" sqref="E20"/>
    </sheetView>
  </sheetViews>
  <sheetFormatPr defaultRowHeight="18" x14ac:dyDescent="0.55000000000000004"/>
  <cols>
    <col min="1" max="1" width="16" style="36" customWidth="1"/>
    <col min="2" max="2" width="10.33203125" bestFit="1" customWidth="1"/>
    <col min="3" max="3" width="8.58203125" style="25"/>
    <col min="4" max="4" width="17" style="25" customWidth="1"/>
  </cols>
  <sheetData>
    <row r="1" spans="1:17" x14ac:dyDescent="0.55000000000000004">
      <c r="A1" s="35" t="s">
        <v>8</v>
      </c>
      <c r="B1" s="2" t="s">
        <v>9</v>
      </c>
      <c r="C1" s="23" t="s">
        <v>10</v>
      </c>
      <c r="D1" s="24" t="s">
        <v>11</v>
      </c>
      <c r="E1" s="5" t="s">
        <v>12</v>
      </c>
      <c r="F1" s="6" t="s">
        <v>13</v>
      </c>
      <c r="G1" s="7" t="s">
        <v>14</v>
      </c>
      <c r="H1" s="3" t="s">
        <v>15</v>
      </c>
      <c r="I1" s="8" t="s">
        <v>16</v>
      </c>
      <c r="J1" s="4" t="s">
        <v>17</v>
      </c>
      <c r="K1" s="8" t="s">
        <v>18</v>
      </c>
      <c r="L1" s="8" t="s">
        <v>19</v>
      </c>
      <c r="M1" s="8" t="s">
        <v>20</v>
      </c>
      <c r="N1" s="8" t="s">
        <v>21</v>
      </c>
      <c r="O1" s="8" t="s">
        <v>22</v>
      </c>
      <c r="P1" s="8" t="s">
        <v>23</v>
      </c>
      <c r="Q1" s="8" t="s">
        <v>24</v>
      </c>
    </row>
    <row r="3" spans="1:17" x14ac:dyDescent="0.55000000000000004">
      <c r="L3" s="34"/>
      <c r="P3" s="34"/>
    </row>
    <row r="4" spans="1:17" x14ac:dyDescent="0.55000000000000004">
      <c r="L4" s="34"/>
      <c r="P4" s="34"/>
    </row>
    <row r="5" spans="1:17" x14ac:dyDescent="0.55000000000000004">
      <c r="L5" s="34"/>
      <c r="P5" s="34"/>
    </row>
    <row r="6" spans="1:17" x14ac:dyDescent="0.55000000000000004">
      <c r="L6" s="34"/>
      <c r="P6" s="34"/>
    </row>
    <row r="7" spans="1:17" x14ac:dyDescent="0.55000000000000004">
      <c r="L7" s="34"/>
      <c r="P7" s="34"/>
    </row>
    <row r="8" spans="1:17" x14ac:dyDescent="0.55000000000000004">
      <c r="L8" s="34"/>
      <c r="P8" s="34"/>
    </row>
    <row r="9" spans="1:17" x14ac:dyDescent="0.55000000000000004">
      <c r="L9" s="34"/>
      <c r="P9" s="34"/>
    </row>
    <row r="10" spans="1:17" x14ac:dyDescent="0.55000000000000004">
      <c r="L10" s="34"/>
      <c r="P10" s="34"/>
    </row>
    <row r="11" spans="1:17" x14ac:dyDescent="0.55000000000000004">
      <c r="L11" s="34"/>
      <c r="P11" s="34"/>
    </row>
    <row r="12" spans="1:17" x14ac:dyDescent="0.55000000000000004">
      <c r="L12" s="34"/>
      <c r="P12" s="34"/>
    </row>
    <row r="13" spans="1:17" x14ac:dyDescent="0.55000000000000004">
      <c r="L13" s="34"/>
      <c r="P13" s="34"/>
    </row>
    <row r="14" spans="1:17" x14ac:dyDescent="0.55000000000000004">
      <c r="L14" s="34"/>
      <c r="P14" s="34"/>
    </row>
    <row r="15" spans="1:17" x14ac:dyDescent="0.55000000000000004">
      <c r="L15" s="34"/>
      <c r="P15" s="34"/>
    </row>
    <row r="16" spans="1:17" x14ac:dyDescent="0.55000000000000004">
      <c r="L16" s="34"/>
      <c r="P16" s="34"/>
    </row>
    <row r="17" spans="12:16" x14ac:dyDescent="0.55000000000000004">
      <c r="L17" s="34"/>
      <c r="P17" s="34"/>
    </row>
    <row r="18" spans="12:16" x14ac:dyDescent="0.55000000000000004">
      <c r="P18" s="34"/>
    </row>
  </sheetData>
  <phoneticPr fontId="1"/>
  <pageMargins left="0.7" right="0.7" top="0.75" bottom="0.75" header="0.3" footer="0.3"/>
  <pageSetup paperSize="9" scale="81" orientation="landscape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2C05F-18E4-4BD3-B753-BA56838CAF89}">
  <sheetPr codeName="Sheet4"/>
  <dimension ref="A1:S162"/>
  <sheetViews>
    <sheetView zoomScale="70" zoomScaleNormal="70" workbookViewId="0">
      <selection activeCell="K143" sqref="K143"/>
    </sheetView>
  </sheetViews>
  <sheetFormatPr defaultColWidth="8.58203125" defaultRowHeight="18" x14ac:dyDescent="0.55000000000000004"/>
  <cols>
    <col min="1" max="1" width="8.58203125" style="34"/>
    <col min="2" max="2" width="14.5" style="34" customWidth="1"/>
    <col min="3" max="3" width="8.58203125" style="34"/>
    <col min="4" max="4" width="31.08203125" style="34" customWidth="1"/>
    <col min="5" max="5" width="21.33203125" style="34" customWidth="1"/>
    <col min="6" max="13" width="8.58203125" style="34"/>
    <col min="14" max="14" width="14.75" style="34" bestFit="1" customWidth="1"/>
    <col min="15" max="16384" width="8.58203125" style="34"/>
  </cols>
  <sheetData>
    <row r="1" spans="1:18" x14ac:dyDescent="0.55000000000000004">
      <c r="A1" s="34" t="s">
        <v>26</v>
      </c>
      <c r="B1" s="34" t="s">
        <v>27</v>
      </c>
      <c r="C1" s="34" t="s">
        <v>28</v>
      </c>
      <c r="D1" s="34" t="s">
        <v>29</v>
      </c>
      <c r="E1" s="34" t="s">
        <v>30</v>
      </c>
      <c r="F1" s="34" t="s">
        <v>31</v>
      </c>
      <c r="G1" s="34" t="s">
        <v>32</v>
      </c>
      <c r="H1" s="34" t="s">
        <v>33</v>
      </c>
      <c r="I1" s="34" t="s">
        <v>34</v>
      </c>
      <c r="J1" s="34" t="s">
        <v>35</v>
      </c>
      <c r="K1" s="34" t="s">
        <v>36</v>
      </c>
      <c r="L1" s="34" t="s">
        <v>37</v>
      </c>
      <c r="N1" s="11" t="s">
        <v>38</v>
      </c>
    </row>
    <row r="2" spans="1:18" x14ac:dyDescent="0.55000000000000004">
      <c r="A2" s="12" t="s">
        <v>39</v>
      </c>
      <c r="B2" s="12" t="s">
        <v>485</v>
      </c>
      <c r="C2" s="31" t="s">
        <v>40</v>
      </c>
      <c r="D2" s="31" t="s">
        <v>267</v>
      </c>
      <c r="E2" s="31" t="s">
        <v>41</v>
      </c>
      <c r="F2" s="31" t="s">
        <v>42</v>
      </c>
      <c r="G2" s="31">
        <v>0</v>
      </c>
      <c r="H2" s="31">
        <v>0</v>
      </c>
      <c r="I2" s="31" t="s">
        <v>43</v>
      </c>
      <c r="J2" s="31"/>
      <c r="K2" s="31"/>
      <c r="L2" s="31"/>
      <c r="M2" s="31" t="s">
        <v>304</v>
      </c>
      <c r="N2" s="32" t="s">
        <v>478</v>
      </c>
      <c r="R2" s="153" t="s">
        <v>328</v>
      </c>
    </row>
    <row r="3" spans="1:18" x14ac:dyDescent="0.55000000000000004">
      <c r="A3" s="12" t="s">
        <v>39</v>
      </c>
      <c r="B3" s="12" t="s">
        <v>485</v>
      </c>
      <c r="C3" s="31" t="s">
        <v>40</v>
      </c>
      <c r="D3" s="31" t="s">
        <v>44</v>
      </c>
      <c r="E3" s="31" t="s">
        <v>45</v>
      </c>
      <c r="F3" s="31" t="s">
        <v>42</v>
      </c>
      <c r="G3" s="31">
        <v>0</v>
      </c>
      <c r="H3" s="31">
        <v>0</v>
      </c>
      <c r="I3" s="31" t="s">
        <v>43</v>
      </c>
      <c r="J3" s="31"/>
      <c r="K3" s="31"/>
      <c r="L3" s="31"/>
      <c r="M3" s="31" t="s">
        <v>304</v>
      </c>
      <c r="N3" s="32" t="s">
        <v>479</v>
      </c>
      <c r="R3" s="154"/>
    </row>
    <row r="4" spans="1:18" x14ac:dyDescent="0.55000000000000004">
      <c r="A4" s="12" t="s">
        <v>39</v>
      </c>
      <c r="B4" s="12" t="s">
        <v>485</v>
      </c>
      <c r="C4" s="31" t="s">
        <v>40</v>
      </c>
      <c r="D4" s="31" t="s">
        <v>46</v>
      </c>
      <c r="E4" s="31" t="s">
        <v>47</v>
      </c>
      <c r="F4" s="31" t="s">
        <v>42</v>
      </c>
      <c r="G4" s="31">
        <v>0</v>
      </c>
      <c r="H4" s="31">
        <v>0</v>
      </c>
      <c r="I4" s="31" t="s">
        <v>43</v>
      </c>
      <c r="J4" s="31"/>
      <c r="K4" s="31"/>
      <c r="L4" s="31"/>
      <c r="M4" s="31" t="s">
        <v>304</v>
      </c>
      <c r="N4" s="32" t="s">
        <v>479</v>
      </c>
      <c r="R4" s="154"/>
    </row>
    <row r="5" spans="1:18" x14ac:dyDescent="0.55000000000000004">
      <c r="A5" s="12" t="s">
        <v>39</v>
      </c>
      <c r="B5" s="12" t="s">
        <v>485</v>
      </c>
      <c r="C5" s="31" t="s">
        <v>40</v>
      </c>
      <c r="D5" s="31" t="s">
        <v>48</v>
      </c>
      <c r="E5" s="31" t="s">
        <v>49</v>
      </c>
      <c r="F5" s="31" t="s">
        <v>42</v>
      </c>
      <c r="G5" s="31">
        <v>0</v>
      </c>
      <c r="H5" s="31">
        <v>0</v>
      </c>
      <c r="I5" s="31" t="s">
        <v>43</v>
      </c>
      <c r="J5" s="31"/>
      <c r="K5" s="31"/>
      <c r="L5" s="31"/>
      <c r="M5" s="31" t="s">
        <v>304</v>
      </c>
      <c r="N5" s="31" t="s">
        <v>480</v>
      </c>
      <c r="R5" s="154"/>
    </row>
    <row r="6" spans="1:18" x14ac:dyDescent="0.55000000000000004">
      <c r="A6" s="12" t="s">
        <v>39</v>
      </c>
      <c r="B6" s="12" t="s">
        <v>485</v>
      </c>
      <c r="C6" s="31" t="s">
        <v>40</v>
      </c>
      <c r="D6" s="31" t="s">
        <v>50</v>
      </c>
      <c r="E6" s="31" t="s">
        <v>51</v>
      </c>
      <c r="F6" s="31" t="s">
        <v>42</v>
      </c>
      <c r="G6" s="31">
        <v>0</v>
      </c>
      <c r="H6" s="31">
        <v>0</v>
      </c>
      <c r="I6" s="31" t="s">
        <v>43</v>
      </c>
      <c r="J6" s="31"/>
      <c r="K6" s="31"/>
      <c r="L6" s="31"/>
      <c r="M6" s="31" t="s">
        <v>304</v>
      </c>
      <c r="N6" s="31" t="s">
        <v>480</v>
      </c>
      <c r="R6" s="154"/>
    </row>
    <row r="7" spans="1:18" x14ac:dyDescent="0.55000000000000004">
      <c r="A7" s="12" t="s">
        <v>39</v>
      </c>
      <c r="B7" s="12" t="s">
        <v>485</v>
      </c>
      <c r="C7" s="31" t="s">
        <v>40</v>
      </c>
      <c r="D7" s="31" t="s">
        <v>52</v>
      </c>
      <c r="E7" s="31" t="s">
        <v>53</v>
      </c>
      <c r="F7" s="31" t="s">
        <v>42</v>
      </c>
      <c r="G7" s="31">
        <v>0</v>
      </c>
      <c r="H7" s="31">
        <v>0</v>
      </c>
      <c r="I7" s="31" t="s">
        <v>43</v>
      </c>
      <c r="J7" s="31"/>
      <c r="K7" s="31"/>
      <c r="L7" s="31"/>
      <c r="M7" s="31" t="s">
        <v>304</v>
      </c>
      <c r="N7" s="31" t="s">
        <v>480</v>
      </c>
      <c r="R7" s="154"/>
    </row>
    <row r="8" spans="1:18" x14ac:dyDescent="0.55000000000000004">
      <c r="A8" s="12" t="s">
        <v>39</v>
      </c>
      <c r="B8" s="12" t="s">
        <v>485</v>
      </c>
      <c r="C8" s="31" t="s">
        <v>40</v>
      </c>
      <c r="D8" s="31" t="s">
        <v>54</v>
      </c>
      <c r="E8" s="31" t="s">
        <v>55</v>
      </c>
      <c r="F8" s="31" t="s">
        <v>42</v>
      </c>
      <c r="G8" s="31">
        <v>0</v>
      </c>
      <c r="H8" s="31">
        <v>0</v>
      </c>
      <c r="I8" s="31" t="s">
        <v>43</v>
      </c>
      <c r="J8" s="31"/>
      <c r="K8" s="31"/>
      <c r="L8" s="31"/>
      <c r="M8" s="31" t="s">
        <v>304</v>
      </c>
      <c r="N8" s="31" t="s">
        <v>429</v>
      </c>
      <c r="R8" s="154"/>
    </row>
    <row r="9" spans="1:18" x14ac:dyDescent="0.55000000000000004">
      <c r="A9" s="12" t="s">
        <v>39</v>
      </c>
      <c r="B9" s="12" t="s">
        <v>485</v>
      </c>
      <c r="C9" s="31" t="s">
        <v>56</v>
      </c>
      <c r="D9" s="31" t="s">
        <v>57</v>
      </c>
      <c r="E9" s="31" t="s">
        <v>271</v>
      </c>
      <c r="F9" s="31" t="s">
        <v>42</v>
      </c>
      <c r="G9" s="31">
        <v>0</v>
      </c>
      <c r="H9" s="31">
        <v>0</v>
      </c>
      <c r="I9" s="31" t="s">
        <v>43</v>
      </c>
      <c r="J9" s="31"/>
      <c r="K9" s="31"/>
      <c r="L9" s="31"/>
      <c r="M9" s="31" t="s">
        <v>304</v>
      </c>
      <c r="N9" s="31" t="s">
        <v>481</v>
      </c>
      <c r="R9" s="154"/>
    </row>
    <row r="10" spans="1:18" x14ac:dyDescent="0.55000000000000004">
      <c r="A10" s="12" t="s">
        <v>39</v>
      </c>
      <c r="B10" s="12" t="s">
        <v>485</v>
      </c>
      <c r="C10" s="31" t="s">
        <v>56</v>
      </c>
      <c r="D10" s="31" t="s">
        <v>59</v>
      </c>
      <c r="E10" s="31" t="s">
        <v>60</v>
      </c>
      <c r="F10" s="31" t="s">
        <v>42</v>
      </c>
      <c r="G10" s="31">
        <v>0</v>
      </c>
      <c r="H10" s="31">
        <v>0</v>
      </c>
      <c r="I10" s="31" t="s">
        <v>43</v>
      </c>
      <c r="J10" s="31"/>
      <c r="K10" s="31"/>
      <c r="L10" s="31"/>
      <c r="M10" s="31" t="s">
        <v>304</v>
      </c>
      <c r="N10" s="31" t="s">
        <v>481</v>
      </c>
      <c r="R10" s="154"/>
    </row>
    <row r="11" spans="1:18" x14ac:dyDescent="0.55000000000000004">
      <c r="A11" s="12" t="s">
        <v>39</v>
      </c>
      <c r="B11" s="12" t="s">
        <v>485</v>
      </c>
      <c r="C11" s="31" t="s">
        <v>56</v>
      </c>
      <c r="D11" s="31" t="s">
        <v>61</v>
      </c>
      <c r="E11" s="31" t="s">
        <v>62</v>
      </c>
      <c r="F11" s="31" t="s">
        <v>42</v>
      </c>
      <c r="G11" s="31">
        <v>0</v>
      </c>
      <c r="H11" s="31">
        <v>0</v>
      </c>
      <c r="I11" s="31" t="s">
        <v>43</v>
      </c>
      <c r="J11" s="31"/>
      <c r="K11" s="31"/>
      <c r="L11" s="31"/>
      <c r="M11" s="31" t="s">
        <v>304</v>
      </c>
      <c r="N11" s="31" t="s">
        <v>481</v>
      </c>
      <c r="R11" s="154"/>
    </row>
    <row r="12" spans="1:18" x14ac:dyDescent="0.55000000000000004">
      <c r="A12" s="12" t="s">
        <v>39</v>
      </c>
      <c r="B12" s="12" t="s">
        <v>485</v>
      </c>
      <c r="C12" s="31" t="s">
        <v>56</v>
      </c>
      <c r="D12" s="31" t="s">
        <v>63</v>
      </c>
      <c r="E12" s="31" t="s">
        <v>64</v>
      </c>
      <c r="F12" s="31" t="s">
        <v>42</v>
      </c>
      <c r="G12" s="31">
        <v>0</v>
      </c>
      <c r="H12" s="31">
        <v>0</v>
      </c>
      <c r="I12" s="31" t="s">
        <v>43</v>
      </c>
      <c r="J12" s="31"/>
      <c r="K12" s="31"/>
      <c r="L12" s="31"/>
      <c r="M12" s="31" t="s">
        <v>304</v>
      </c>
      <c r="N12" s="31" t="s">
        <v>482</v>
      </c>
      <c r="R12" s="154"/>
    </row>
    <row r="13" spans="1:18" x14ac:dyDescent="0.55000000000000004">
      <c r="A13" s="12" t="s">
        <v>39</v>
      </c>
      <c r="B13" s="12" t="s">
        <v>485</v>
      </c>
      <c r="C13" s="31" t="s">
        <v>56</v>
      </c>
      <c r="D13" s="31" t="s">
        <v>65</v>
      </c>
      <c r="E13" s="31" t="s">
        <v>66</v>
      </c>
      <c r="F13" s="31" t="s">
        <v>42</v>
      </c>
      <c r="G13" s="31">
        <v>0</v>
      </c>
      <c r="H13" s="31">
        <v>0</v>
      </c>
      <c r="I13" s="31" t="s">
        <v>43</v>
      </c>
      <c r="J13" s="31"/>
      <c r="K13" s="31"/>
      <c r="L13" s="31"/>
      <c r="M13" s="31" t="s">
        <v>304</v>
      </c>
      <c r="N13" s="31" t="s">
        <v>482</v>
      </c>
      <c r="R13" s="154"/>
    </row>
    <row r="14" spans="1:18" x14ac:dyDescent="0.55000000000000004">
      <c r="A14" s="12" t="s">
        <v>39</v>
      </c>
      <c r="B14" s="12" t="s">
        <v>485</v>
      </c>
      <c r="C14" s="31" t="s">
        <v>56</v>
      </c>
      <c r="D14" s="31" t="s">
        <v>67</v>
      </c>
      <c r="E14" s="31" t="s">
        <v>68</v>
      </c>
      <c r="F14" s="31" t="s">
        <v>42</v>
      </c>
      <c r="G14" s="31">
        <v>0</v>
      </c>
      <c r="H14" s="31">
        <v>0</v>
      </c>
      <c r="I14" s="31" t="s">
        <v>43</v>
      </c>
      <c r="J14" s="31"/>
      <c r="K14" s="31"/>
      <c r="L14" s="31"/>
      <c r="M14" s="31" t="s">
        <v>304</v>
      </c>
      <c r="N14" s="31" t="s">
        <v>482</v>
      </c>
      <c r="R14" s="154"/>
    </row>
    <row r="15" spans="1:18" x14ac:dyDescent="0.55000000000000004">
      <c r="A15" s="12" t="s">
        <v>39</v>
      </c>
      <c r="B15" s="12" t="s">
        <v>485</v>
      </c>
      <c r="C15" s="31" t="s">
        <v>69</v>
      </c>
      <c r="D15" s="31" t="s">
        <v>272</v>
      </c>
      <c r="E15" s="31" t="s">
        <v>273</v>
      </c>
      <c r="F15" s="31" t="s">
        <v>42</v>
      </c>
      <c r="G15" s="31">
        <v>0</v>
      </c>
      <c r="H15" s="31">
        <v>0</v>
      </c>
      <c r="I15" s="31" t="s">
        <v>43</v>
      </c>
      <c r="J15" s="31"/>
      <c r="K15" s="31"/>
      <c r="L15" s="31"/>
      <c r="M15" s="31" t="s">
        <v>304</v>
      </c>
      <c r="N15" s="31" t="s">
        <v>483</v>
      </c>
      <c r="R15" s="154"/>
    </row>
    <row r="16" spans="1:18" x14ac:dyDescent="0.55000000000000004">
      <c r="A16" s="12" t="s">
        <v>39</v>
      </c>
      <c r="B16" s="12" t="s">
        <v>485</v>
      </c>
      <c r="C16" s="31" t="s">
        <v>69</v>
      </c>
      <c r="D16" s="31" t="s">
        <v>72</v>
      </c>
      <c r="E16" s="31" t="s">
        <v>73</v>
      </c>
      <c r="F16" s="31" t="s">
        <v>42</v>
      </c>
      <c r="G16" s="31">
        <v>0</v>
      </c>
      <c r="H16" s="31">
        <v>0</v>
      </c>
      <c r="I16" s="31" t="s">
        <v>43</v>
      </c>
      <c r="J16" s="31"/>
      <c r="K16" s="31"/>
      <c r="L16" s="31"/>
      <c r="M16" s="31" t="s">
        <v>304</v>
      </c>
      <c r="N16" s="31" t="s">
        <v>483</v>
      </c>
      <c r="R16" s="154"/>
    </row>
    <row r="17" spans="1:18" x14ac:dyDescent="0.55000000000000004">
      <c r="A17" s="12" t="s">
        <v>39</v>
      </c>
      <c r="B17" s="12" t="s">
        <v>485</v>
      </c>
      <c r="C17" s="31" t="s">
        <v>69</v>
      </c>
      <c r="D17" s="31" t="s">
        <v>74</v>
      </c>
      <c r="E17" s="31" t="s">
        <v>75</v>
      </c>
      <c r="F17" s="31" t="s">
        <v>42</v>
      </c>
      <c r="G17" s="31">
        <v>0</v>
      </c>
      <c r="H17" s="31">
        <v>0</v>
      </c>
      <c r="I17" s="31" t="s">
        <v>43</v>
      </c>
      <c r="J17" s="31"/>
      <c r="K17" s="31"/>
      <c r="L17" s="31"/>
      <c r="M17" s="31" t="s">
        <v>304</v>
      </c>
      <c r="N17" s="31" t="s">
        <v>483</v>
      </c>
      <c r="R17" s="154"/>
    </row>
    <row r="18" spans="1:18" x14ac:dyDescent="0.55000000000000004">
      <c r="A18" s="12" t="s">
        <v>39</v>
      </c>
      <c r="B18" s="12" t="s">
        <v>485</v>
      </c>
      <c r="C18" s="31" t="s">
        <v>69</v>
      </c>
      <c r="D18" s="31" t="s">
        <v>76</v>
      </c>
      <c r="E18" s="31" t="s">
        <v>77</v>
      </c>
      <c r="F18" s="31" t="s">
        <v>42</v>
      </c>
      <c r="G18" s="31">
        <v>0</v>
      </c>
      <c r="H18" s="31">
        <v>0</v>
      </c>
      <c r="I18" s="31" t="s">
        <v>43</v>
      </c>
      <c r="J18" s="31"/>
      <c r="K18" s="31"/>
      <c r="L18" s="31"/>
      <c r="M18" s="31" t="s">
        <v>304</v>
      </c>
      <c r="N18" s="31" t="s">
        <v>483</v>
      </c>
      <c r="R18" s="154"/>
    </row>
    <row r="19" spans="1:18" x14ac:dyDescent="0.55000000000000004">
      <c r="A19" s="12" t="s">
        <v>39</v>
      </c>
      <c r="B19" s="12" t="s">
        <v>485</v>
      </c>
      <c r="C19" s="31" t="s">
        <v>69</v>
      </c>
      <c r="D19" s="31" t="s">
        <v>78</v>
      </c>
      <c r="E19" s="31" t="s">
        <v>79</v>
      </c>
      <c r="F19" s="31" t="s">
        <v>42</v>
      </c>
      <c r="G19" s="31">
        <v>0</v>
      </c>
      <c r="H19" s="31">
        <v>0</v>
      </c>
      <c r="I19" s="31" t="s">
        <v>43</v>
      </c>
      <c r="J19" s="31"/>
      <c r="K19" s="31"/>
      <c r="L19" s="31"/>
      <c r="M19" s="31" t="s">
        <v>304</v>
      </c>
      <c r="N19" s="31" t="s">
        <v>483</v>
      </c>
      <c r="R19" s="154"/>
    </row>
    <row r="20" spans="1:18" x14ac:dyDescent="0.55000000000000004">
      <c r="A20" s="13" t="s">
        <v>278</v>
      </c>
      <c r="B20" s="13" t="s">
        <v>81</v>
      </c>
      <c r="C20" s="31" t="s">
        <v>82</v>
      </c>
      <c r="D20" s="31" t="s">
        <v>83</v>
      </c>
      <c r="E20" s="31" t="s">
        <v>84</v>
      </c>
      <c r="F20" s="31" t="s">
        <v>42</v>
      </c>
      <c r="G20" s="31">
        <v>0</v>
      </c>
      <c r="H20" s="31">
        <v>0</v>
      </c>
      <c r="I20" s="31" t="s">
        <v>43</v>
      </c>
      <c r="J20" s="31"/>
      <c r="K20" s="31"/>
      <c r="L20" s="31"/>
      <c r="M20" s="31" t="s">
        <v>305</v>
      </c>
      <c r="N20" s="31" t="s">
        <v>279</v>
      </c>
      <c r="R20" s="154"/>
    </row>
    <row r="21" spans="1:18" x14ac:dyDescent="0.55000000000000004">
      <c r="A21" s="13" t="s">
        <v>80</v>
      </c>
      <c r="B21" s="13" t="s">
        <v>85</v>
      </c>
      <c r="C21" s="31" t="s">
        <v>82</v>
      </c>
      <c r="D21" s="31" t="s">
        <v>86</v>
      </c>
      <c r="E21" s="31" t="s">
        <v>87</v>
      </c>
      <c r="F21" s="31" t="s">
        <v>42</v>
      </c>
      <c r="G21" s="31">
        <v>0</v>
      </c>
      <c r="H21" s="31">
        <v>0</v>
      </c>
      <c r="I21" s="31" t="s">
        <v>43</v>
      </c>
      <c r="J21" s="31"/>
      <c r="K21" s="31"/>
      <c r="L21" s="31"/>
      <c r="M21" s="31" t="s">
        <v>305</v>
      </c>
      <c r="N21" s="31" t="s">
        <v>279</v>
      </c>
      <c r="R21" s="154"/>
    </row>
    <row r="22" spans="1:18" x14ac:dyDescent="0.55000000000000004">
      <c r="A22" s="13" t="s">
        <v>80</v>
      </c>
      <c r="B22" s="13" t="s">
        <v>85</v>
      </c>
      <c r="C22" s="31" t="s">
        <v>82</v>
      </c>
      <c r="D22" s="31" t="s">
        <v>88</v>
      </c>
      <c r="E22" s="31" t="s">
        <v>89</v>
      </c>
      <c r="F22" s="31" t="s">
        <v>42</v>
      </c>
      <c r="G22" s="31">
        <v>0</v>
      </c>
      <c r="H22" s="31">
        <v>0</v>
      </c>
      <c r="I22" s="31" t="s">
        <v>43</v>
      </c>
      <c r="J22" s="31"/>
      <c r="K22" s="31"/>
      <c r="L22" s="31"/>
      <c r="M22" s="31" t="s">
        <v>305</v>
      </c>
      <c r="N22" s="31" t="s">
        <v>279</v>
      </c>
      <c r="R22" s="154"/>
    </row>
    <row r="23" spans="1:18" x14ac:dyDescent="0.55000000000000004">
      <c r="A23" s="13" t="s">
        <v>80</v>
      </c>
      <c r="B23" s="13" t="s">
        <v>90</v>
      </c>
      <c r="C23" s="31" t="s">
        <v>82</v>
      </c>
      <c r="D23" s="31" t="s">
        <v>91</v>
      </c>
      <c r="E23" s="31" t="s">
        <v>92</v>
      </c>
      <c r="F23" s="31" t="s">
        <v>42</v>
      </c>
      <c r="G23" s="31">
        <v>0</v>
      </c>
      <c r="H23" s="31">
        <v>0</v>
      </c>
      <c r="I23" s="31" t="s">
        <v>43</v>
      </c>
      <c r="J23" s="31"/>
      <c r="K23" s="31"/>
      <c r="L23" s="31"/>
      <c r="M23" s="31" t="s">
        <v>305</v>
      </c>
      <c r="N23" s="31" t="s">
        <v>280</v>
      </c>
      <c r="R23" s="154"/>
    </row>
    <row r="24" spans="1:18" x14ac:dyDescent="0.55000000000000004">
      <c r="A24" s="13" t="s">
        <v>80</v>
      </c>
      <c r="B24" s="13" t="s">
        <v>93</v>
      </c>
      <c r="C24" s="31" t="s">
        <v>82</v>
      </c>
      <c r="D24" s="31" t="s">
        <v>94</v>
      </c>
      <c r="E24" s="31" t="s">
        <v>95</v>
      </c>
      <c r="F24" s="31" t="s">
        <v>42</v>
      </c>
      <c r="G24" s="31">
        <v>0</v>
      </c>
      <c r="H24" s="31">
        <v>0</v>
      </c>
      <c r="I24" s="31" t="s">
        <v>43</v>
      </c>
      <c r="J24" s="31"/>
      <c r="K24" s="31"/>
      <c r="L24" s="31"/>
      <c r="M24" s="31" t="s">
        <v>305</v>
      </c>
      <c r="N24" s="31" t="s">
        <v>280</v>
      </c>
      <c r="R24" s="154"/>
    </row>
    <row r="25" spans="1:18" x14ac:dyDescent="0.55000000000000004">
      <c r="A25" s="13" t="s">
        <v>80</v>
      </c>
      <c r="B25" s="13" t="s">
        <v>96</v>
      </c>
      <c r="C25" s="31" t="s">
        <v>69</v>
      </c>
      <c r="D25" s="31" t="s">
        <v>97</v>
      </c>
      <c r="E25" s="31" t="s">
        <v>281</v>
      </c>
      <c r="F25" s="31" t="s">
        <v>42</v>
      </c>
      <c r="G25" s="31">
        <v>0</v>
      </c>
      <c r="H25" s="31">
        <v>0</v>
      </c>
      <c r="I25" s="31" t="s">
        <v>43</v>
      </c>
      <c r="J25" s="31"/>
      <c r="K25" s="31"/>
      <c r="L25" s="31"/>
      <c r="M25" s="31" t="s">
        <v>305</v>
      </c>
      <c r="N25" s="31" t="s">
        <v>460</v>
      </c>
      <c r="R25" s="154"/>
    </row>
    <row r="26" spans="1:18" x14ac:dyDescent="0.55000000000000004">
      <c r="A26" s="13" t="s">
        <v>80</v>
      </c>
      <c r="B26" s="13" t="s">
        <v>99</v>
      </c>
      <c r="C26" s="31" t="s">
        <v>69</v>
      </c>
      <c r="D26" s="31" t="s">
        <v>100</v>
      </c>
      <c r="E26" s="31" t="s">
        <v>101</v>
      </c>
      <c r="F26" s="31" t="s">
        <v>42</v>
      </c>
      <c r="G26" s="31">
        <v>0</v>
      </c>
      <c r="H26" s="31">
        <v>0</v>
      </c>
      <c r="I26" s="31" t="s">
        <v>43</v>
      </c>
      <c r="J26" s="31"/>
      <c r="K26" s="31"/>
      <c r="L26" s="31"/>
      <c r="M26" s="31" t="s">
        <v>305</v>
      </c>
      <c r="N26" s="31" t="s">
        <v>460</v>
      </c>
      <c r="R26" s="154"/>
    </row>
    <row r="27" spans="1:18" x14ac:dyDescent="0.55000000000000004">
      <c r="A27" s="13" t="s">
        <v>80</v>
      </c>
      <c r="B27" s="13" t="s">
        <v>99</v>
      </c>
      <c r="C27" s="31" t="s">
        <v>69</v>
      </c>
      <c r="D27" s="31" t="s">
        <v>102</v>
      </c>
      <c r="E27" s="31" t="s">
        <v>103</v>
      </c>
      <c r="F27" s="31" t="s">
        <v>42</v>
      </c>
      <c r="G27" s="31">
        <v>0</v>
      </c>
      <c r="H27" s="31">
        <v>0</v>
      </c>
      <c r="I27" s="31" t="s">
        <v>43</v>
      </c>
      <c r="J27" s="31"/>
      <c r="K27" s="31"/>
      <c r="L27" s="31"/>
      <c r="M27" s="31" t="s">
        <v>305</v>
      </c>
      <c r="N27" s="31" t="s">
        <v>460</v>
      </c>
      <c r="R27" s="154"/>
    </row>
    <row r="28" spans="1:18" x14ac:dyDescent="0.55000000000000004">
      <c r="A28" s="13" t="s">
        <v>80</v>
      </c>
      <c r="B28" s="13" t="s">
        <v>99</v>
      </c>
      <c r="C28" s="31" t="s">
        <v>69</v>
      </c>
      <c r="D28" s="31" t="s">
        <v>104</v>
      </c>
      <c r="E28" s="31" t="s">
        <v>105</v>
      </c>
      <c r="F28" s="31" t="s">
        <v>42</v>
      </c>
      <c r="G28" s="31">
        <v>0</v>
      </c>
      <c r="H28" s="31">
        <v>0</v>
      </c>
      <c r="I28" s="31" t="s">
        <v>43</v>
      </c>
      <c r="J28" s="31"/>
      <c r="K28" s="31"/>
      <c r="L28" s="31"/>
      <c r="M28" s="31" t="s">
        <v>305</v>
      </c>
      <c r="N28" s="31" t="s">
        <v>459</v>
      </c>
      <c r="R28" s="154"/>
    </row>
    <row r="29" spans="1:18" x14ac:dyDescent="0.55000000000000004">
      <c r="A29" s="13" t="s">
        <v>80</v>
      </c>
      <c r="B29" s="13" t="s">
        <v>99</v>
      </c>
      <c r="C29" s="31" t="s">
        <v>40</v>
      </c>
      <c r="D29" s="31" t="s">
        <v>106</v>
      </c>
      <c r="E29" s="31" t="s">
        <v>282</v>
      </c>
      <c r="F29" s="31" t="s">
        <v>42</v>
      </c>
      <c r="G29" s="31">
        <v>0</v>
      </c>
      <c r="H29" s="31">
        <v>0</v>
      </c>
      <c r="I29" s="31" t="s">
        <v>43</v>
      </c>
      <c r="J29" s="31"/>
      <c r="K29" s="31"/>
      <c r="L29" s="31"/>
      <c r="M29" s="31" t="s">
        <v>305</v>
      </c>
      <c r="N29" s="31" t="s">
        <v>430</v>
      </c>
      <c r="R29" s="154"/>
    </row>
    <row r="30" spans="1:18" x14ac:dyDescent="0.55000000000000004">
      <c r="A30" s="13" t="s">
        <v>80</v>
      </c>
      <c r="B30" s="13" t="s">
        <v>99</v>
      </c>
      <c r="C30" s="31" t="s">
        <v>40</v>
      </c>
      <c r="D30" s="31" t="s">
        <v>108</v>
      </c>
      <c r="E30" s="31" t="s">
        <v>109</v>
      </c>
      <c r="F30" s="31" t="s">
        <v>42</v>
      </c>
      <c r="G30" s="31">
        <v>0</v>
      </c>
      <c r="H30" s="31">
        <v>0</v>
      </c>
      <c r="I30" s="31" t="s">
        <v>43</v>
      </c>
      <c r="J30" s="31"/>
      <c r="K30" s="31"/>
      <c r="L30" s="31"/>
      <c r="M30" s="31" t="s">
        <v>305</v>
      </c>
      <c r="N30" s="31" t="s">
        <v>430</v>
      </c>
      <c r="R30" s="154"/>
    </row>
    <row r="31" spans="1:18" x14ac:dyDescent="0.55000000000000004">
      <c r="A31" s="13" t="s">
        <v>80</v>
      </c>
      <c r="B31" s="13" t="s">
        <v>99</v>
      </c>
      <c r="C31" s="31" t="s">
        <v>40</v>
      </c>
      <c r="D31" s="31" t="s">
        <v>110</v>
      </c>
      <c r="E31" s="31" t="s">
        <v>111</v>
      </c>
      <c r="F31" s="31" t="s">
        <v>42</v>
      </c>
      <c r="G31" s="31">
        <v>0</v>
      </c>
      <c r="H31" s="31">
        <v>0</v>
      </c>
      <c r="I31" s="31" t="s">
        <v>43</v>
      </c>
      <c r="J31" s="31"/>
      <c r="K31" s="31"/>
      <c r="L31" s="31"/>
      <c r="M31" s="31" t="s">
        <v>305</v>
      </c>
      <c r="N31" s="31" t="s">
        <v>430</v>
      </c>
      <c r="R31" s="154"/>
    </row>
    <row r="32" spans="1:18" x14ac:dyDescent="0.55000000000000004">
      <c r="A32" s="13" t="s">
        <v>80</v>
      </c>
      <c r="B32" s="13" t="s">
        <v>99</v>
      </c>
      <c r="C32" s="31" t="s">
        <v>40</v>
      </c>
      <c r="D32" s="31" t="s">
        <v>112</v>
      </c>
      <c r="E32" s="31" t="s">
        <v>113</v>
      </c>
      <c r="F32" s="31" t="s">
        <v>42</v>
      </c>
      <c r="G32" s="31">
        <v>0</v>
      </c>
      <c r="H32" s="31">
        <v>0</v>
      </c>
      <c r="I32" s="31" t="s">
        <v>43</v>
      </c>
      <c r="J32" s="31"/>
      <c r="K32" s="31"/>
      <c r="L32" s="31"/>
      <c r="M32" s="31" t="s">
        <v>305</v>
      </c>
      <c r="N32" s="31" t="s">
        <v>431</v>
      </c>
      <c r="R32" s="154"/>
    </row>
    <row r="33" spans="1:18" x14ac:dyDescent="0.55000000000000004">
      <c r="A33" s="13" t="s">
        <v>80</v>
      </c>
      <c r="B33" s="13" t="s">
        <v>99</v>
      </c>
      <c r="C33" s="31" t="s">
        <v>40</v>
      </c>
      <c r="D33" s="31" t="s">
        <v>114</v>
      </c>
      <c r="E33" s="31" t="s">
        <v>115</v>
      </c>
      <c r="F33" s="31" t="s">
        <v>42</v>
      </c>
      <c r="G33" s="31">
        <v>0</v>
      </c>
      <c r="H33" s="31">
        <v>0</v>
      </c>
      <c r="I33" s="31" t="s">
        <v>43</v>
      </c>
      <c r="J33" s="31"/>
      <c r="K33" s="31"/>
      <c r="L33" s="31"/>
      <c r="M33" s="31" t="s">
        <v>305</v>
      </c>
      <c r="N33" s="31" t="s">
        <v>431</v>
      </c>
      <c r="R33" s="154"/>
    </row>
    <row r="34" spans="1:18" x14ac:dyDescent="0.55000000000000004">
      <c r="A34" s="13" t="s">
        <v>80</v>
      </c>
      <c r="B34" s="13" t="s">
        <v>99</v>
      </c>
      <c r="C34" s="31" t="s">
        <v>40</v>
      </c>
      <c r="D34" s="31" t="s">
        <v>116</v>
      </c>
      <c r="E34" s="31" t="s">
        <v>117</v>
      </c>
      <c r="F34" s="31" t="s">
        <v>42</v>
      </c>
      <c r="G34" s="31">
        <v>0</v>
      </c>
      <c r="H34" s="31">
        <v>0</v>
      </c>
      <c r="I34" s="31" t="s">
        <v>43</v>
      </c>
      <c r="J34" s="31"/>
      <c r="K34" s="31"/>
      <c r="L34" s="31"/>
      <c r="M34" s="31" t="s">
        <v>305</v>
      </c>
      <c r="N34" s="31" t="s">
        <v>431</v>
      </c>
      <c r="R34" s="154"/>
    </row>
    <row r="35" spans="1:18" x14ac:dyDescent="0.55000000000000004">
      <c r="A35" s="13" t="s">
        <v>80</v>
      </c>
      <c r="B35" s="13" t="s">
        <v>118</v>
      </c>
      <c r="C35" s="31" t="s">
        <v>82</v>
      </c>
      <c r="D35" s="31" t="s">
        <v>119</v>
      </c>
      <c r="E35" s="31" t="s">
        <v>120</v>
      </c>
      <c r="F35" s="31" t="s">
        <v>42</v>
      </c>
      <c r="G35" s="31">
        <v>0</v>
      </c>
      <c r="H35" s="31">
        <v>0</v>
      </c>
      <c r="I35" s="31" t="s">
        <v>43</v>
      </c>
      <c r="J35" s="31"/>
      <c r="K35" s="31"/>
      <c r="L35" s="31"/>
      <c r="M35" s="31"/>
      <c r="N35" s="31" t="s">
        <v>429</v>
      </c>
      <c r="R35" s="154"/>
    </row>
    <row r="36" spans="1:18" x14ac:dyDescent="0.55000000000000004">
      <c r="A36" s="13" t="s">
        <v>80</v>
      </c>
      <c r="B36" s="13" t="s">
        <v>121</v>
      </c>
      <c r="C36" s="31" t="s">
        <v>82</v>
      </c>
      <c r="D36" s="31" t="s">
        <v>122</v>
      </c>
      <c r="E36" s="31" t="s">
        <v>123</v>
      </c>
      <c r="F36" s="31" t="s">
        <v>42</v>
      </c>
      <c r="G36" s="31">
        <v>0</v>
      </c>
      <c r="H36" s="31">
        <v>0</v>
      </c>
      <c r="I36" s="31" t="s">
        <v>43</v>
      </c>
      <c r="J36" s="31"/>
      <c r="K36" s="31"/>
      <c r="L36" s="31"/>
      <c r="M36" s="31" t="s">
        <v>305</v>
      </c>
      <c r="N36" s="31" t="s">
        <v>283</v>
      </c>
      <c r="R36" s="154"/>
    </row>
    <row r="37" spans="1:18" x14ac:dyDescent="0.55000000000000004">
      <c r="A37" s="13" t="s">
        <v>80</v>
      </c>
      <c r="B37" s="13" t="s">
        <v>121</v>
      </c>
      <c r="C37" s="31" t="s">
        <v>82</v>
      </c>
      <c r="D37" s="31" t="s">
        <v>124</v>
      </c>
      <c r="E37" s="31" t="s">
        <v>125</v>
      </c>
      <c r="F37" s="31" t="s">
        <v>42</v>
      </c>
      <c r="G37" s="31">
        <v>0</v>
      </c>
      <c r="H37" s="31">
        <v>0</v>
      </c>
      <c r="I37" s="31" t="s">
        <v>43</v>
      </c>
      <c r="J37" s="31"/>
      <c r="K37" s="31"/>
      <c r="L37" s="31"/>
      <c r="M37" s="31" t="s">
        <v>305</v>
      </c>
      <c r="N37" s="31" t="s">
        <v>283</v>
      </c>
      <c r="R37" s="154"/>
    </row>
    <row r="38" spans="1:18" x14ac:dyDescent="0.55000000000000004">
      <c r="A38" s="13" t="s">
        <v>80</v>
      </c>
      <c r="B38" s="13" t="s">
        <v>121</v>
      </c>
      <c r="C38" s="31" t="s">
        <v>82</v>
      </c>
      <c r="D38" s="31" t="s">
        <v>126</v>
      </c>
      <c r="E38" s="31" t="s">
        <v>127</v>
      </c>
      <c r="F38" s="31" t="s">
        <v>42</v>
      </c>
      <c r="G38" s="31">
        <v>0</v>
      </c>
      <c r="H38" s="31">
        <v>0</v>
      </c>
      <c r="I38" s="31" t="s">
        <v>43</v>
      </c>
      <c r="J38" s="31"/>
      <c r="K38" s="31"/>
      <c r="L38" s="31"/>
      <c r="M38" s="31" t="s">
        <v>305</v>
      </c>
      <c r="N38" s="31" t="s">
        <v>284</v>
      </c>
      <c r="R38" s="154"/>
    </row>
    <row r="39" spans="1:18" x14ac:dyDescent="0.55000000000000004">
      <c r="A39" s="13" t="s">
        <v>80</v>
      </c>
      <c r="B39" s="13" t="s">
        <v>121</v>
      </c>
      <c r="C39" s="31" t="s">
        <v>82</v>
      </c>
      <c r="D39" s="31" t="s">
        <v>128</v>
      </c>
      <c r="E39" s="31" t="s">
        <v>129</v>
      </c>
      <c r="F39" s="31" t="s">
        <v>42</v>
      </c>
      <c r="G39" s="31">
        <v>0</v>
      </c>
      <c r="H39" s="31">
        <v>0</v>
      </c>
      <c r="I39" s="31" t="s">
        <v>43</v>
      </c>
      <c r="J39" s="31"/>
      <c r="K39" s="31"/>
      <c r="L39" s="31"/>
      <c r="M39" s="31" t="s">
        <v>305</v>
      </c>
      <c r="N39" s="31" t="s">
        <v>284</v>
      </c>
      <c r="R39" s="154"/>
    </row>
    <row r="40" spans="1:18" x14ac:dyDescent="0.55000000000000004">
      <c r="A40" s="13" t="s">
        <v>80</v>
      </c>
      <c r="B40" s="13" t="s">
        <v>121</v>
      </c>
      <c r="C40" s="31" t="s">
        <v>82</v>
      </c>
      <c r="D40" s="31" t="s">
        <v>130</v>
      </c>
      <c r="E40" s="31" t="s">
        <v>131</v>
      </c>
      <c r="F40" s="31" t="s">
        <v>42</v>
      </c>
      <c r="G40" s="31">
        <v>0</v>
      </c>
      <c r="H40" s="31">
        <v>0</v>
      </c>
      <c r="I40" s="31" t="s">
        <v>43</v>
      </c>
      <c r="J40" s="31"/>
      <c r="K40" s="31"/>
      <c r="L40" s="31"/>
      <c r="M40" s="31" t="s">
        <v>305</v>
      </c>
      <c r="N40" s="31" t="s">
        <v>284</v>
      </c>
      <c r="R40" s="154"/>
    </row>
    <row r="41" spans="1:18" x14ac:dyDescent="0.55000000000000004">
      <c r="A41" s="13" t="s">
        <v>80</v>
      </c>
      <c r="B41" s="13" t="s">
        <v>121</v>
      </c>
      <c r="C41" s="31" t="s">
        <v>82</v>
      </c>
      <c r="D41" s="31" t="s">
        <v>132</v>
      </c>
      <c r="E41" s="31" t="s">
        <v>133</v>
      </c>
      <c r="F41" s="31" t="s">
        <v>42</v>
      </c>
      <c r="G41" s="31">
        <v>0</v>
      </c>
      <c r="H41" s="31">
        <v>0</v>
      </c>
      <c r="I41" s="31" t="s">
        <v>43</v>
      </c>
      <c r="J41" s="31"/>
      <c r="K41" s="31"/>
      <c r="L41" s="31"/>
      <c r="M41" s="31" t="s">
        <v>305</v>
      </c>
      <c r="N41" s="31" t="s">
        <v>283</v>
      </c>
      <c r="R41" s="154"/>
    </row>
    <row r="42" spans="1:18" x14ac:dyDescent="0.55000000000000004">
      <c r="A42" s="13" t="s">
        <v>80</v>
      </c>
      <c r="B42" s="13" t="s">
        <v>121</v>
      </c>
      <c r="C42" s="31" t="s">
        <v>82</v>
      </c>
      <c r="D42" s="31" t="s">
        <v>134</v>
      </c>
      <c r="E42" s="31" t="s">
        <v>135</v>
      </c>
      <c r="F42" s="31" t="s">
        <v>42</v>
      </c>
      <c r="G42" s="31">
        <v>0</v>
      </c>
      <c r="H42" s="31">
        <v>0</v>
      </c>
      <c r="I42" s="31" t="s">
        <v>43</v>
      </c>
      <c r="J42" s="31"/>
      <c r="K42" s="31"/>
      <c r="L42" s="31"/>
      <c r="M42" s="31" t="s">
        <v>305</v>
      </c>
      <c r="N42" s="31" t="s">
        <v>283</v>
      </c>
      <c r="R42" s="154"/>
    </row>
    <row r="43" spans="1:18" x14ac:dyDescent="0.55000000000000004">
      <c r="A43" s="14" t="s">
        <v>136</v>
      </c>
      <c r="B43" s="14" t="s">
        <v>137</v>
      </c>
      <c r="C43" s="31" t="s">
        <v>40</v>
      </c>
      <c r="D43" s="31" t="s">
        <v>138</v>
      </c>
      <c r="E43" s="31" t="s">
        <v>274</v>
      </c>
      <c r="F43" s="31" t="s">
        <v>42</v>
      </c>
      <c r="G43" s="31">
        <v>0</v>
      </c>
      <c r="H43" s="31">
        <v>0</v>
      </c>
      <c r="I43" s="31" t="s">
        <v>43</v>
      </c>
      <c r="J43" s="31"/>
      <c r="K43" s="31"/>
      <c r="L43" s="31"/>
      <c r="M43" s="31" t="s">
        <v>306</v>
      </c>
      <c r="N43" s="31" t="s">
        <v>275</v>
      </c>
      <c r="R43" s="154"/>
    </row>
    <row r="44" spans="1:18" x14ac:dyDescent="0.55000000000000004">
      <c r="A44" s="14" t="s">
        <v>136</v>
      </c>
      <c r="B44" s="14" t="s">
        <v>140</v>
      </c>
      <c r="C44" s="31" t="s">
        <v>40</v>
      </c>
      <c r="D44" s="31" t="s">
        <v>141</v>
      </c>
      <c r="E44" s="31" t="s">
        <v>277</v>
      </c>
      <c r="F44" s="31" t="s">
        <v>42</v>
      </c>
      <c r="G44" s="31">
        <v>0</v>
      </c>
      <c r="H44" s="31">
        <v>0</v>
      </c>
      <c r="I44" s="31" t="s">
        <v>43</v>
      </c>
      <c r="J44" s="31"/>
      <c r="K44" s="31"/>
      <c r="L44" s="31"/>
      <c r="M44" s="31" t="s">
        <v>306</v>
      </c>
      <c r="N44" s="31" t="s">
        <v>303</v>
      </c>
      <c r="R44" s="154"/>
    </row>
    <row r="45" spans="1:18" x14ac:dyDescent="0.55000000000000004">
      <c r="A45" s="14" t="s">
        <v>136</v>
      </c>
      <c r="B45" s="14" t="s">
        <v>140</v>
      </c>
      <c r="C45" s="31" t="s">
        <v>40</v>
      </c>
      <c r="D45" s="31" t="s">
        <v>141</v>
      </c>
      <c r="E45" s="31" t="s">
        <v>277</v>
      </c>
      <c r="F45" s="31" t="s">
        <v>42</v>
      </c>
      <c r="G45" s="31">
        <v>0</v>
      </c>
      <c r="H45" s="31">
        <v>0</v>
      </c>
      <c r="I45" s="31" t="s">
        <v>43</v>
      </c>
      <c r="J45" s="31"/>
      <c r="K45" s="31"/>
      <c r="L45" s="31"/>
      <c r="M45" s="31" t="s">
        <v>306</v>
      </c>
      <c r="N45" s="31" t="s">
        <v>462</v>
      </c>
      <c r="R45" s="154"/>
    </row>
    <row r="46" spans="1:18" x14ac:dyDescent="0.55000000000000004">
      <c r="A46" s="14" t="s">
        <v>136</v>
      </c>
      <c r="B46" s="14" t="s">
        <v>140</v>
      </c>
      <c r="C46" s="31" t="s">
        <v>40</v>
      </c>
      <c r="D46" s="31" t="s">
        <v>143</v>
      </c>
      <c r="E46" s="31" t="s">
        <v>276</v>
      </c>
      <c r="F46" s="31" t="s">
        <v>42</v>
      </c>
      <c r="G46" s="31">
        <v>0</v>
      </c>
      <c r="H46" s="31">
        <v>0</v>
      </c>
      <c r="I46" s="31" t="s">
        <v>43</v>
      </c>
      <c r="J46" s="31"/>
      <c r="K46" s="31"/>
      <c r="L46" s="31"/>
      <c r="M46" s="31" t="s">
        <v>306</v>
      </c>
      <c r="N46" s="31" t="s">
        <v>462</v>
      </c>
      <c r="R46" s="154"/>
    </row>
    <row r="47" spans="1:18" x14ac:dyDescent="0.55000000000000004">
      <c r="A47" s="14" t="s">
        <v>136</v>
      </c>
      <c r="B47" s="14" t="s">
        <v>140</v>
      </c>
      <c r="C47" s="31" t="s">
        <v>40</v>
      </c>
      <c r="D47" s="31" t="s">
        <v>143</v>
      </c>
      <c r="E47" s="31" t="s">
        <v>276</v>
      </c>
      <c r="F47" s="31" t="s">
        <v>42</v>
      </c>
      <c r="G47" s="31">
        <v>0</v>
      </c>
      <c r="H47" s="31">
        <v>0</v>
      </c>
      <c r="I47" s="31" t="s">
        <v>43</v>
      </c>
      <c r="J47" s="31"/>
      <c r="K47" s="31"/>
      <c r="L47" s="31"/>
      <c r="M47" s="31" t="s">
        <v>306</v>
      </c>
      <c r="N47" s="31" t="s">
        <v>463</v>
      </c>
      <c r="R47" s="154"/>
    </row>
    <row r="48" spans="1:18" x14ac:dyDescent="0.55000000000000004">
      <c r="A48" s="14" t="s">
        <v>136</v>
      </c>
      <c r="B48" s="14" t="s">
        <v>140</v>
      </c>
      <c r="C48" s="31" t="s">
        <v>40</v>
      </c>
      <c r="D48" s="31" t="s">
        <v>145</v>
      </c>
      <c r="E48" s="31" t="s">
        <v>146</v>
      </c>
      <c r="F48" s="31" t="s">
        <v>42</v>
      </c>
      <c r="G48" s="31">
        <v>0</v>
      </c>
      <c r="H48" s="31">
        <v>0</v>
      </c>
      <c r="I48" s="31" t="s">
        <v>43</v>
      </c>
      <c r="J48" s="31"/>
      <c r="K48" s="31"/>
      <c r="L48" s="31"/>
      <c r="M48" s="31" t="s">
        <v>306</v>
      </c>
      <c r="N48" s="31" t="s">
        <v>286</v>
      </c>
      <c r="R48" s="155"/>
    </row>
    <row r="49" spans="1:19" x14ac:dyDescent="0.55000000000000004">
      <c r="A49" s="12" t="s">
        <v>39</v>
      </c>
      <c r="B49" s="12" t="s">
        <v>485</v>
      </c>
      <c r="C49" s="31" t="s">
        <v>56</v>
      </c>
      <c r="D49" s="31" t="s">
        <v>57</v>
      </c>
      <c r="E49" s="31" t="s">
        <v>271</v>
      </c>
      <c r="F49" s="31" t="s">
        <v>42</v>
      </c>
      <c r="G49" s="31">
        <v>0</v>
      </c>
      <c r="H49" s="31">
        <v>0</v>
      </c>
      <c r="I49" s="31" t="s">
        <v>43</v>
      </c>
      <c r="J49" s="31"/>
      <c r="K49" s="31"/>
      <c r="L49" s="31"/>
      <c r="M49" s="31" t="s">
        <v>304</v>
      </c>
      <c r="N49" s="31" t="s">
        <v>484</v>
      </c>
      <c r="R49" s="75"/>
      <c r="S49" s="82" t="s">
        <v>455</v>
      </c>
    </row>
    <row r="50" spans="1:19" x14ac:dyDescent="0.55000000000000004">
      <c r="A50" s="12" t="s">
        <v>39</v>
      </c>
      <c r="B50" s="12" t="s">
        <v>485</v>
      </c>
      <c r="C50" s="31" t="s">
        <v>56</v>
      </c>
      <c r="D50" s="31" t="s">
        <v>59</v>
      </c>
      <c r="E50" s="31" t="s">
        <v>60</v>
      </c>
      <c r="F50" s="31" t="s">
        <v>42</v>
      </c>
      <c r="G50" s="31">
        <v>0</v>
      </c>
      <c r="H50" s="31">
        <v>0</v>
      </c>
      <c r="I50" s="31" t="s">
        <v>43</v>
      </c>
      <c r="J50" s="31"/>
      <c r="K50" s="31"/>
      <c r="L50" s="31"/>
      <c r="M50" s="31" t="s">
        <v>304</v>
      </c>
      <c r="N50" s="31" t="s">
        <v>484</v>
      </c>
      <c r="R50" s="75"/>
      <c r="S50" s="82" t="s">
        <v>456</v>
      </c>
    </row>
    <row r="51" spans="1:19" x14ac:dyDescent="0.55000000000000004">
      <c r="A51" s="12" t="s">
        <v>39</v>
      </c>
      <c r="B51" s="12" t="s">
        <v>485</v>
      </c>
      <c r="C51" s="31" t="s">
        <v>56</v>
      </c>
      <c r="D51" s="31" t="s">
        <v>61</v>
      </c>
      <c r="E51" s="31" t="s">
        <v>62</v>
      </c>
      <c r="F51" s="31" t="s">
        <v>42</v>
      </c>
      <c r="G51" s="31">
        <v>0</v>
      </c>
      <c r="H51" s="31">
        <v>0</v>
      </c>
      <c r="I51" s="31" t="s">
        <v>43</v>
      </c>
      <c r="J51" s="31"/>
      <c r="K51" s="31"/>
      <c r="L51" s="31"/>
      <c r="M51" s="31" t="s">
        <v>304</v>
      </c>
      <c r="N51" s="31" t="s">
        <v>484</v>
      </c>
      <c r="R51" s="75"/>
      <c r="S51" s="82" t="s">
        <v>457</v>
      </c>
    </row>
    <row r="52" spans="1:19" x14ac:dyDescent="0.55000000000000004">
      <c r="A52" s="12" t="s">
        <v>39</v>
      </c>
      <c r="B52" s="12" t="s">
        <v>485</v>
      </c>
      <c r="C52" s="31" t="s">
        <v>56</v>
      </c>
      <c r="D52" s="31" t="s">
        <v>63</v>
      </c>
      <c r="E52" s="31" t="s">
        <v>64</v>
      </c>
      <c r="F52" s="31" t="s">
        <v>42</v>
      </c>
      <c r="G52" s="31">
        <v>0</v>
      </c>
      <c r="H52" s="31">
        <v>0</v>
      </c>
      <c r="I52" s="31" t="s">
        <v>43</v>
      </c>
      <c r="J52" s="31"/>
      <c r="K52" s="31"/>
      <c r="L52" s="31"/>
      <c r="M52" s="31" t="s">
        <v>304</v>
      </c>
      <c r="N52" s="31" t="s">
        <v>484</v>
      </c>
      <c r="R52" s="75"/>
      <c r="S52" s="82" t="s">
        <v>458</v>
      </c>
    </row>
    <row r="53" spans="1:19" x14ac:dyDescent="0.55000000000000004">
      <c r="A53" s="12" t="s">
        <v>39</v>
      </c>
      <c r="B53" s="12" t="s">
        <v>485</v>
      </c>
      <c r="C53" s="31" t="s">
        <v>56</v>
      </c>
      <c r="D53" s="31" t="s">
        <v>65</v>
      </c>
      <c r="E53" s="31" t="s">
        <v>66</v>
      </c>
      <c r="F53" s="31" t="s">
        <v>42</v>
      </c>
      <c r="G53" s="31">
        <v>0</v>
      </c>
      <c r="H53" s="31">
        <v>0</v>
      </c>
      <c r="I53" s="31" t="s">
        <v>43</v>
      </c>
      <c r="J53" s="31"/>
      <c r="K53" s="31"/>
      <c r="L53" s="31"/>
      <c r="M53" s="31" t="s">
        <v>304</v>
      </c>
      <c r="N53" s="31" t="s">
        <v>484</v>
      </c>
      <c r="R53" s="75"/>
      <c r="S53" s="82"/>
    </row>
    <row r="54" spans="1:19" x14ac:dyDescent="0.55000000000000004">
      <c r="A54" s="12" t="s">
        <v>39</v>
      </c>
      <c r="B54" s="12" t="s">
        <v>485</v>
      </c>
      <c r="C54" s="31" t="s">
        <v>56</v>
      </c>
      <c r="D54" s="31" t="s">
        <v>67</v>
      </c>
      <c r="E54" s="31" t="s">
        <v>68</v>
      </c>
      <c r="F54" s="31" t="s">
        <v>42</v>
      </c>
      <c r="G54" s="31">
        <v>0</v>
      </c>
      <c r="H54" s="31">
        <v>0</v>
      </c>
      <c r="I54" s="31" t="s">
        <v>43</v>
      </c>
      <c r="J54" s="31"/>
      <c r="K54" s="31"/>
      <c r="L54" s="31"/>
      <c r="M54" s="31" t="s">
        <v>304</v>
      </c>
      <c r="N54" s="31" t="s">
        <v>484</v>
      </c>
      <c r="R54" s="75"/>
      <c r="S54" s="82"/>
    </row>
    <row r="55" spans="1:19" x14ac:dyDescent="0.55000000000000004">
      <c r="A55" s="12" t="s">
        <v>39</v>
      </c>
      <c r="B55" s="12" t="s">
        <v>485</v>
      </c>
      <c r="C55" s="12" t="s">
        <v>40</v>
      </c>
      <c r="D55" s="12" t="s">
        <v>267</v>
      </c>
      <c r="E55" s="12" t="s">
        <v>41</v>
      </c>
      <c r="F55" s="12" t="s">
        <v>42</v>
      </c>
      <c r="G55" s="12">
        <v>0</v>
      </c>
      <c r="H55" s="12">
        <v>0</v>
      </c>
      <c r="I55" s="12" t="s">
        <v>43</v>
      </c>
      <c r="J55" s="12"/>
      <c r="K55" s="12"/>
      <c r="L55" s="12"/>
      <c r="M55" s="12" t="s">
        <v>307</v>
      </c>
      <c r="N55" s="71" t="str">
        <f>B55&amp;E55</f>
        <v>KT京都衣笠体育館第１アリーナ　１面</v>
      </c>
      <c r="R55" s="153" t="s">
        <v>329</v>
      </c>
      <c r="S55" s="156" t="s">
        <v>444</v>
      </c>
    </row>
    <row r="56" spans="1:19" x14ac:dyDescent="0.55000000000000004">
      <c r="A56" s="12" t="s">
        <v>39</v>
      </c>
      <c r="B56" s="12" t="s">
        <v>485</v>
      </c>
      <c r="C56" s="12" t="s">
        <v>40</v>
      </c>
      <c r="D56" s="12" t="s">
        <v>44</v>
      </c>
      <c r="E56" s="12" t="s">
        <v>45</v>
      </c>
      <c r="F56" s="12" t="s">
        <v>42</v>
      </c>
      <c r="G56" s="12">
        <v>0</v>
      </c>
      <c r="H56" s="12">
        <v>0</v>
      </c>
      <c r="I56" s="12" t="s">
        <v>43</v>
      </c>
      <c r="J56" s="12"/>
      <c r="K56" s="12"/>
      <c r="L56" s="12"/>
      <c r="M56" s="12" t="s">
        <v>307</v>
      </c>
      <c r="N56" s="71" t="str">
        <f t="shared" ref="N56:N99" si="0">B56&amp;E56</f>
        <v>KT京都衣笠体育館第１アリーナ　２面</v>
      </c>
      <c r="R56" s="154"/>
      <c r="S56" s="156"/>
    </row>
    <row r="57" spans="1:19" x14ac:dyDescent="0.55000000000000004">
      <c r="A57" s="12" t="s">
        <v>39</v>
      </c>
      <c r="B57" s="12" t="s">
        <v>485</v>
      </c>
      <c r="C57" s="12" t="s">
        <v>40</v>
      </c>
      <c r="D57" s="12" t="s">
        <v>46</v>
      </c>
      <c r="E57" s="12" t="s">
        <v>47</v>
      </c>
      <c r="F57" s="12" t="s">
        <v>42</v>
      </c>
      <c r="G57" s="12">
        <v>0</v>
      </c>
      <c r="H57" s="12">
        <v>0</v>
      </c>
      <c r="I57" s="12" t="s">
        <v>43</v>
      </c>
      <c r="J57" s="12"/>
      <c r="K57" s="12"/>
      <c r="L57" s="12"/>
      <c r="M57" s="12" t="s">
        <v>307</v>
      </c>
      <c r="N57" s="71" t="str">
        <f t="shared" si="0"/>
        <v>KT京都衣笠体育館第１アリーナ　３面</v>
      </c>
      <c r="R57" s="154"/>
      <c r="S57" s="156"/>
    </row>
    <row r="58" spans="1:19" x14ac:dyDescent="0.55000000000000004">
      <c r="A58" s="12" t="s">
        <v>39</v>
      </c>
      <c r="B58" s="12" t="s">
        <v>485</v>
      </c>
      <c r="C58" s="12" t="s">
        <v>40</v>
      </c>
      <c r="D58" s="12" t="s">
        <v>48</v>
      </c>
      <c r="E58" s="12" t="s">
        <v>49</v>
      </c>
      <c r="F58" s="12" t="s">
        <v>42</v>
      </c>
      <c r="G58" s="12">
        <v>0</v>
      </c>
      <c r="H58" s="12">
        <v>0</v>
      </c>
      <c r="I58" s="12" t="s">
        <v>43</v>
      </c>
      <c r="J58" s="12"/>
      <c r="K58" s="12"/>
      <c r="L58" s="12"/>
      <c r="M58" s="12" t="s">
        <v>307</v>
      </c>
      <c r="N58" s="34" t="str">
        <f t="shared" si="0"/>
        <v>KT京都衣笠体育館第１アリーナ　４面</v>
      </c>
      <c r="R58" s="154"/>
      <c r="S58" s="156"/>
    </row>
    <row r="59" spans="1:19" x14ac:dyDescent="0.55000000000000004">
      <c r="A59" s="12" t="s">
        <v>39</v>
      </c>
      <c r="B59" s="12" t="s">
        <v>485</v>
      </c>
      <c r="C59" s="12" t="s">
        <v>40</v>
      </c>
      <c r="D59" s="12" t="s">
        <v>50</v>
      </c>
      <c r="E59" s="12" t="s">
        <v>51</v>
      </c>
      <c r="F59" s="12" t="s">
        <v>42</v>
      </c>
      <c r="G59" s="12">
        <v>0</v>
      </c>
      <c r="H59" s="12">
        <v>0</v>
      </c>
      <c r="I59" s="12" t="s">
        <v>43</v>
      </c>
      <c r="J59" s="12"/>
      <c r="K59" s="12"/>
      <c r="L59" s="12"/>
      <c r="M59" s="12" t="s">
        <v>307</v>
      </c>
      <c r="N59" s="34" t="str">
        <f t="shared" si="0"/>
        <v>KT京都衣笠体育館第１アリーナ　５面</v>
      </c>
      <c r="R59" s="154"/>
      <c r="S59" s="156"/>
    </row>
    <row r="60" spans="1:19" x14ac:dyDescent="0.55000000000000004">
      <c r="A60" s="12" t="s">
        <v>39</v>
      </c>
      <c r="B60" s="12" t="s">
        <v>485</v>
      </c>
      <c r="C60" s="12" t="s">
        <v>40</v>
      </c>
      <c r="D60" s="12" t="s">
        <v>52</v>
      </c>
      <c r="E60" s="12" t="s">
        <v>53</v>
      </c>
      <c r="F60" s="12" t="s">
        <v>42</v>
      </c>
      <c r="G60" s="12">
        <v>0</v>
      </c>
      <c r="H60" s="12">
        <v>0</v>
      </c>
      <c r="I60" s="12" t="s">
        <v>43</v>
      </c>
      <c r="J60" s="12"/>
      <c r="K60" s="12"/>
      <c r="L60" s="12"/>
      <c r="M60" s="12" t="s">
        <v>307</v>
      </c>
      <c r="N60" s="34" t="str">
        <f t="shared" si="0"/>
        <v>KT京都衣笠体育館第１アリーナ　６面</v>
      </c>
      <c r="R60" s="154"/>
      <c r="S60" s="156"/>
    </row>
    <row r="61" spans="1:19" x14ac:dyDescent="0.55000000000000004">
      <c r="A61" s="12" t="s">
        <v>39</v>
      </c>
      <c r="B61" s="12" t="s">
        <v>485</v>
      </c>
      <c r="C61" s="12" t="s">
        <v>40</v>
      </c>
      <c r="D61" s="12" t="s">
        <v>54</v>
      </c>
      <c r="E61" s="12" t="s">
        <v>55</v>
      </c>
      <c r="F61" s="12" t="s">
        <v>42</v>
      </c>
      <c r="G61" s="12">
        <v>0</v>
      </c>
      <c r="H61" s="12">
        <v>0</v>
      </c>
      <c r="I61" s="12" t="s">
        <v>43</v>
      </c>
      <c r="J61" s="12"/>
      <c r="K61" s="12"/>
      <c r="L61" s="12"/>
      <c r="M61" s="12" t="s">
        <v>307</v>
      </c>
      <c r="N61" s="34" t="str">
        <f t="shared" si="0"/>
        <v>KT京都衣笠体育館第１アリーナ　７面</v>
      </c>
      <c r="R61" s="154"/>
      <c r="S61" s="156"/>
    </row>
    <row r="62" spans="1:19" x14ac:dyDescent="0.55000000000000004">
      <c r="A62" s="12" t="s">
        <v>39</v>
      </c>
      <c r="B62" s="12" t="s">
        <v>485</v>
      </c>
      <c r="C62" s="12" t="s">
        <v>56</v>
      </c>
      <c r="D62" s="12" t="s">
        <v>57</v>
      </c>
      <c r="E62" s="12" t="s">
        <v>58</v>
      </c>
      <c r="F62" s="12" t="s">
        <v>42</v>
      </c>
      <c r="G62" s="12">
        <v>0</v>
      </c>
      <c r="H62" s="12">
        <v>0</v>
      </c>
      <c r="I62" s="12" t="s">
        <v>43</v>
      </c>
      <c r="J62" s="12"/>
      <c r="K62" s="12"/>
      <c r="L62" s="12"/>
      <c r="M62" s="12" t="s">
        <v>307</v>
      </c>
      <c r="N62" s="34" t="str">
        <f t="shared" si="0"/>
        <v>KT京都衣笠体育館第２アリーナ　１面</v>
      </c>
      <c r="R62" s="154"/>
      <c r="S62" s="156"/>
    </row>
    <row r="63" spans="1:19" x14ac:dyDescent="0.55000000000000004">
      <c r="A63" s="12" t="s">
        <v>39</v>
      </c>
      <c r="B63" s="12" t="s">
        <v>485</v>
      </c>
      <c r="C63" s="12" t="s">
        <v>56</v>
      </c>
      <c r="D63" s="12" t="s">
        <v>59</v>
      </c>
      <c r="E63" s="12" t="s">
        <v>60</v>
      </c>
      <c r="F63" s="12" t="s">
        <v>42</v>
      </c>
      <c r="G63" s="12">
        <v>0</v>
      </c>
      <c r="H63" s="12">
        <v>0</v>
      </c>
      <c r="I63" s="12" t="s">
        <v>43</v>
      </c>
      <c r="J63" s="12"/>
      <c r="K63" s="12"/>
      <c r="L63" s="12"/>
      <c r="M63" s="12" t="s">
        <v>307</v>
      </c>
      <c r="N63" s="34" t="str">
        <f t="shared" si="0"/>
        <v>KT京都衣笠体育館第２アリーナ　２面</v>
      </c>
      <c r="R63" s="154"/>
      <c r="S63" s="156"/>
    </row>
    <row r="64" spans="1:19" x14ac:dyDescent="0.55000000000000004">
      <c r="A64" s="12" t="s">
        <v>39</v>
      </c>
      <c r="B64" s="12" t="s">
        <v>485</v>
      </c>
      <c r="C64" s="12" t="s">
        <v>56</v>
      </c>
      <c r="D64" s="12" t="s">
        <v>61</v>
      </c>
      <c r="E64" s="12" t="s">
        <v>62</v>
      </c>
      <c r="F64" s="12" t="s">
        <v>42</v>
      </c>
      <c r="G64" s="12">
        <v>0</v>
      </c>
      <c r="H64" s="12">
        <v>0</v>
      </c>
      <c r="I64" s="12" t="s">
        <v>43</v>
      </c>
      <c r="J64" s="12"/>
      <c r="K64" s="12"/>
      <c r="L64" s="12"/>
      <c r="M64" s="12" t="s">
        <v>307</v>
      </c>
      <c r="N64" s="34" t="str">
        <f t="shared" si="0"/>
        <v>KT京都衣笠体育館第２アリーナ　３面</v>
      </c>
      <c r="R64" s="154"/>
      <c r="S64" s="156"/>
    </row>
    <row r="65" spans="1:19" x14ac:dyDescent="0.55000000000000004">
      <c r="A65" s="12" t="s">
        <v>39</v>
      </c>
      <c r="B65" s="12" t="s">
        <v>485</v>
      </c>
      <c r="C65" s="12" t="s">
        <v>56</v>
      </c>
      <c r="D65" s="12" t="s">
        <v>63</v>
      </c>
      <c r="E65" s="12" t="s">
        <v>64</v>
      </c>
      <c r="F65" s="12" t="s">
        <v>42</v>
      </c>
      <c r="G65" s="12">
        <v>0</v>
      </c>
      <c r="H65" s="12">
        <v>0</v>
      </c>
      <c r="I65" s="12" t="s">
        <v>43</v>
      </c>
      <c r="J65" s="12"/>
      <c r="K65" s="12"/>
      <c r="L65" s="12"/>
      <c r="M65" s="12" t="s">
        <v>307</v>
      </c>
      <c r="N65" s="34" t="str">
        <f t="shared" si="0"/>
        <v>KT京都衣笠体育館第２アリーナ　４面</v>
      </c>
      <c r="R65" s="154"/>
      <c r="S65" s="156"/>
    </row>
    <row r="66" spans="1:19" x14ac:dyDescent="0.55000000000000004">
      <c r="A66" s="12" t="s">
        <v>39</v>
      </c>
      <c r="B66" s="12" t="s">
        <v>485</v>
      </c>
      <c r="C66" s="12" t="s">
        <v>56</v>
      </c>
      <c r="D66" s="12" t="s">
        <v>65</v>
      </c>
      <c r="E66" s="12" t="s">
        <v>66</v>
      </c>
      <c r="F66" s="12" t="s">
        <v>42</v>
      </c>
      <c r="G66" s="12">
        <v>0</v>
      </c>
      <c r="H66" s="12">
        <v>0</v>
      </c>
      <c r="I66" s="12" t="s">
        <v>43</v>
      </c>
      <c r="J66" s="12"/>
      <c r="K66" s="12"/>
      <c r="L66" s="12"/>
      <c r="M66" s="12" t="s">
        <v>307</v>
      </c>
      <c r="N66" s="34" t="str">
        <f t="shared" si="0"/>
        <v>KT京都衣笠体育館第２アリーナ　５面</v>
      </c>
      <c r="R66" s="154"/>
      <c r="S66" s="156"/>
    </row>
    <row r="67" spans="1:19" x14ac:dyDescent="0.55000000000000004">
      <c r="A67" s="12" t="s">
        <v>39</v>
      </c>
      <c r="B67" s="12" t="s">
        <v>485</v>
      </c>
      <c r="C67" s="12" t="s">
        <v>56</v>
      </c>
      <c r="D67" s="12" t="s">
        <v>67</v>
      </c>
      <c r="E67" s="12" t="s">
        <v>68</v>
      </c>
      <c r="F67" s="12" t="s">
        <v>42</v>
      </c>
      <c r="G67" s="12">
        <v>0</v>
      </c>
      <c r="H67" s="12">
        <v>0</v>
      </c>
      <c r="I67" s="12" t="s">
        <v>43</v>
      </c>
      <c r="J67" s="12"/>
      <c r="K67" s="12"/>
      <c r="L67" s="12"/>
      <c r="M67" s="12" t="s">
        <v>307</v>
      </c>
      <c r="N67" s="34" t="str">
        <f t="shared" si="0"/>
        <v>KT京都衣笠体育館第２アリーナ　６面</v>
      </c>
      <c r="R67" s="154"/>
      <c r="S67" s="156"/>
    </row>
    <row r="68" spans="1:19" x14ac:dyDescent="0.55000000000000004">
      <c r="A68" s="12" t="s">
        <v>39</v>
      </c>
      <c r="B68" s="12" t="s">
        <v>485</v>
      </c>
      <c r="C68" s="12" t="s">
        <v>69</v>
      </c>
      <c r="D68" s="12" t="s">
        <v>70</v>
      </c>
      <c r="E68" s="12" t="s">
        <v>71</v>
      </c>
      <c r="F68" s="12" t="s">
        <v>42</v>
      </c>
      <c r="G68" s="12">
        <v>0</v>
      </c>
      <c r="H68" s="12">
        <v>0</v>
      </c>
      <c r="I68" s="12" t="s">
        <v>43</v>
      </c>
      <c r="J68" s="12"/>
      <c r="K68" s="12"/>
      <c r="L68" s="12"/>
      <c r="M68" s="12" t="s">
        <v>307</v>
      </c>
      <c r="N68" s="34" t="str">
        <f t="shared" si="0"/>
        <v>KT京都衣笠体育館第３アリーナ　１面</v>
      </c>
      <c r="R68" s="154"/>
      <c r="S68" s="156"/>
    </row>
    <row r="69" spans="1:19" x14ac:dyDescent="0.55000000000000004">
      <c r="A69" s="12" t="s">
        <v>39</v>
      </c>
      <c r="B69" s="12" t="s">
        <v>485</v>
      </c>
      <c r="C69" s="12" t="s">
        <v>69</v>
      </c>
      <c r="D69" s="12" t="s">
        <v>72</v>
      </c>
      <c r="E69" s="12" t="s">
        <v>73</v>
      </c>
      <c r="F69" s="12" t="s">
        <v>42</v>
      </c>
      <c r="G69" s="12">
        <v>0</v>
      </c>
      <c r="H69" s="12">
        <v>0</v>
      </c>
      <c r="I69" s="12" t="s">
        <v>43</v>
      </c>
      <c r="J69" s="12"/>
      <c r="K69" s="12"/>
      <c r="L69" s="12"/>
      <c r="M69" s="12" t="s">
        <v>307</v>
      </c>
      <c r="N69" s="34" t="str">
        <f t="shared" si="0"/>
        <v>KT京都衣笠体育館第３アリーナ　２面</v>
      </c>
      <c r="R69" s="154"/>
      <c r="S69" s="156"/>
    </row>
    <row r="70" spans="1:19" x14ac:dyDescent="0.55000000000000004">
      <c r="A70" s="12" t="s">
        <v>39</v>
      </c>
      <c r="B70" s="12" t="s">
        <v>485</v>
      </c>
      <c r="C70" s="12" t="s">
        <v>69</v>
      </c>
      <c r="D70" s="12" t="s">
        <v>74</v>
      </c>
      <c r="E70" s="12" t="s">
        <v>75</v>
      </c>
      <c r="F70" s="12" t="s">
        <v>42</v>
      </c>
      <c r="G70" s="12">
        <v>0</v>
      </c>
      <c r="H70" s="12">
        <v>0</v>
      </c>
      <c r="I70" s="12" t="s">
        <v>43</v>
      </c>
      <c r="J70" s="12"/>
      <c r="K70" s="12"/>
      <c r="L70" s="12"/>
      <c r="M70" s="12" t="s">
        <v>307</v>
      </c>
      <c r="N70" s="34" t="str">
        <f t="shared" si="0"/>
        <v>KT京都衣笠体育館第３アリーナ　３面</v>
      </c>
      <c r="R70" s="154"/>
      <c r="S70" s="156"/>
    </row>
    <row r="71" spans="1:19" x14ac:dyDescent="0.55000000000000004">
      <c r="A71" s="12" t="s">
        <v>39</v>
      </c>
      <c r="B71" s="12" t="s">
        <v>485</v>
      </c>
      <c r="C71" s="12" t="s">
        <v>69</v>
      </c>
      <c r="D71" s="12" t="s">
        <v>76</v>
      </c>
      <c r="E71" s="12" t="s">
        <v>77</v>
      </c>
      <c r="F71" s="12" t="s">
        <v>42</v>
      </c>
      <c r="G71" s="12">
        <v>0</v>
      </c>
      <c r="H71" s="12">
        <v>0</v>
      </c>
      <c r="I71" s="12" t="s">
        <v>43</v>
      </c>
      <c r="J71" s="12"/>
      <c r="K71" s="12"/>
      <c r="L71" s="12"/>
      <c r="M71" s="12" t="s">
        <v>307</v>
      </c>
      <c r="N71" s="34" t="str">
        <f t="shared" si="0"/>
        <v>KT京都衣笠体育館第３アリーナ　４面</v>
      </c>
      <c r="R71" s="154"/>
      <c r="S71" s="156"/>
    </row>
    <row r="72" spans="1:19" x14ac:dyDescent="0.55000000000000004">
      <c r="A72" s="12" t="s">
        <v>39</v>
      </c>
      <c r="B72" s="12" t="s">
        <v>485</v>
      </c>
      <c r="C72" s="12" t="s">
        <v>69</v>
      </c>
      <c r="D72" s="12" t="s">
        <v>78</v>
      </c>
      <c r="E72" s="12" t="s">
        <v>79</v>
      </c>
      <c r="F72" s="12" t="s">
        <v>42</v>
      </c>
      <c r="G72" s="12">
        <v>0</v>
      </c>
      <c r="H72" s="12">
        <v>0</v>
      </c>
      <c r="I72" s="12" t="s">
        <v>43</v>
      </c>
      <c r="J72" s="12"/>
      <c r="K72" s="12"/>
      <c r="L72" s="12"/>
      <c r="M72" s="12" t="s">
        <v>307</v>
      </c>
      <c r="N72" s="34" t="str">
        <f t="shared" si="0"/>
        <v>KT京都衣笠体育館第３アリーナ　５面</v>
      </c>
      <c r="R72" s="154"/>
      <c r="S72" s="156"/>
    </row>
    <row r="73" spans="1:19" x14ac:dyDescent="0.55000000000000004">
      <c r="A73" s="13" t="s">
        <v>80</v>
      </c>
      <c r="B73" s="13" t="s">
        <v>81</v>
      </c>
      <c r="C73" s="13" t="s">
        <v>82</v>
      </c>
      <c r="D73" s="13" t="s">
        <v>83</v>
      </c>
      <c r="E73" s="13" t="s">
        <v>84</v>
      </c>
      <c r="F73" s="13" t="s">
        <v>42</v>
      </c>
      <c r="G73" s="13">
        <v>0</v>
      </c>
      <c r="H73" s="13">
        <v>0</v>
      </c>
      <c r="I73" s="13" t="s">
        <v>43</v>
      </c>
      <c r="J73" s="13"/>
      <c r="K73" s="13"/>
      <c r="L73" s="13"/>
      <c r="M73" s="13" t="s">
        <v>308</v>
      </c>
      <c r="N73" s="34" t="str">
        <f t="shared" si="0"/>
        <v>第１グラウンド第１面</v>
      </c>
      <c r="R73" s="154"/>
      <c r="S73" s="156"/>
    </row>
    <row r="74" spans="1:19" x14ac:dyDescent="0.55000000000000004">
      <c r="A74" s="13" t="s">
        <v>80</v>
      </c>
      <c r="B74" s="13" t="s">
        <v>85</v>
      </c>
      <c r="C74" s="13" t="s">
        <v>82</v>
      </c>
      <c r="D74" s="13" t="s">
        <v>86</v>
      </c>
      <c r="E74" s="13" t="s">
        <v>87</v>
      </c>
      <c r="F74" s="13" t="s">
        <v>42</v>
      </c>
      <c r="G74" s="13">
        <v>0</v>
      </c>
      <c r="H74" s="13">
        <v>0</v>
      </c>
      <c r="I74" s="13" t="s">
        <v>43</v>
      </c>
      <c r="J74" s="13"/>
      <c r="K74" s="13"/>
      <c r="L74" s="13"/>
      <c r="M74" s="13" t="s">
        <v>308</v>
      </c>
      <c r="N74" s="34" t="str">
        <f t="shared" si="0"/>
        <v>第１グラウンド第２面</v>
      </c>
      <c r="R74" s="154"/>
      <c r="S74" s="156"/>
    </row>
    <row r="75" spans="1:19" x14ac:dyDescent="0.55000000000000004">
      <c r="A75" s="13" t="s">
        <v>80</v>
      </c>
      <c r="B75" s="13" t="s">
        <v>85</v>
      </c>
      <c r="C75" s="13" t="s">
        <v>82</v>
      </c>
      <c r="D75" s="13" t="s">
        <v>88</v>
      </c>
      <c r="E75" s="13" t="s">
        <v>89</v>
      </c>
      <c r="F75" s="13" t="s">
        <v>42</v>
      </c>
      <c r="G75" s="13">
        <v>0</v>
      </c>
      <c r="H75" s="13">
        <v>0</v>
      </c>
      <c r="I75" s="13" t="s">
        <v>43</v>
      </c>
      <c r="J75" s="13"/>
      <c r="K75" s="13"/>
      <c r="L75" s="13"/>
      <c r="M75" s="13" t="s">
        <v>308</v>
      </c>
      <c r="N75" s="34" t="str">
        <f t="shared" si="0"/>
        <v>第１グラウンド第３面</v>
      </c>
      <c r="R75" s="154"/>
      <c r="S75" s="156"/>
    </row>
    <row r="76" spans="1:19" x14ac:dyDescent="0.55000000000000004">
      <c r="A76" s="13" t="s">
        <v>80</v>
      </c>
      <c r="B76" s="13" t="s">
        <v>90</v>
      </c>
      <c r="C76" s="13" t="s">
        <v>82</v>
      </c>
      <c r="D76" s="13" t="s">
        <v>91</v>
      </c>
      <c r="E76" s="13" t="s">
        <v>92</v>
      </c>
      <c r="F76" s="13" t="s">
        <v>42</v>
      </c>
      <c r="G76" s="13">
        <v>0</v>
      </c>
      <c r="H76" s="13">
        <v>0</v>
      </c>
      <c r="I76" s="13" t="s">
        <v>43</v>
      </c>
      <c r="J76" s="13"/>
      <c r="K76" s="13"/>
      <c r="L76" s="13"/>
      <c r="M76" s="13" t="s">
        <v>308</v>
      </c>
      <c r="N76" s="34" t="str">
        <f t="shared" si="0"/>
        <v>第３グラウンド東面</v>
      </c>
      <c r="R76" s="154"/>
      <c r="S76" s="156"/>
    </row>
    <row r="77" spans="1:19" x14ac:dyDescent="0.55000000000000004">
      <c r="A77" s="13" t="s">
        <v>80</v>
      </c>
      <c r="B77" s="13" t="s">
        <v>93</v>
      </c>
      <c r="C77" s="13" t="s">
        <v>82</v>
      </c>
      <c r="D77" s="13" t="s">
        <v>94</v>
      </c>
      <c r="E77" s="13" t="s">
        <v>95</v>
      </c>
      <c r="F77" s="13" t="s">
        <v>42</v>
      </c>
      <c r="G77" s="13">
        <v>0</v>
      </c>
      <c r="H77" s="13">
        <v>0</v>
      </c>
      <c r="I77" s="13" t="s">
        <v>43</v>
      </c>
      <c r="J77" s="13"/>
      <c r="K77" s="13"/>
      <c r="L77" s="13"/>
      <c r="M77" s="13" t="s">
        <v>308</v>
      </c>
      <c r="N77" s="34" t="str">
        <f t="shared" si="0"/>
        <v>第３グラウンド西面</v>
      </c>
      <c r="R77" s="154"/>
      <c r="S77" s="156"/>
    </row>
    <row r="78" spans="1:19" x14ac:dyDescent="0.55000000000000004">
      <c r="A78" s="13" t="s">
        <v>80</v>
      </c>
      <c r="B78" s="13" t="s">
        <v>96</v>
      </c>
      <c r="C78" s="13" t="s">
        <v>69</v>
      </c>
      <c r="D78" s="13" t="s">
        <v>97</v>
      </c>
      <c r="E78" s="13" t="s">
        <v>98</v>
      </c>
      <c r="F78" s="13" t="s">
        <v>42</v>
      </c>
      <c r="G78" s="13">
        <v>0</v>
      </c>
      <c r="H78" s="13">
        <v>0</v>
      </c>
      <c r="I78" s="13" t="s">
        <v>43</v>
      </c>
      <c r="J78" s="13"/>
      <c r="K78" s="13"/>
      <c r="L78" s="13"/>
      <c r="M78" s="13" t="s">
        <v>308</v>
      </c>
      <c r="N78" s="34" t="str">
        <f t="shared" si="0"/>
        <v>BKCジム第１アリーナ １面</v>
      </c>
      <c r="R78" s="154"/>
      <c r="S78" s="156"/>
    </row>
    <row r="79" spans="1:19" x14ac:dyDescent="0.55000000000000004">
      <c r="A79" s="13" t="s">
        <v>80</v>
      </c>
      <c r="B79" s="13" t="s">
        <v>99</v>
      </c>
      <c r="C79" s="13" t="s">
        <v>69</v>
      </c>
      <c r="D79" s="13" t="s">
        <v>100</v>
      </c>
      <c r="E79" s="13" t="s">
        <v>101</v>
      </c>
      <c r="F79" s="13" t="s">
        <v>42</v>
      </c>
      <c r="G79" s="13">
        <v>0</v>
      </c>
      <c r="H79" s="13">
        <v>0</v>
      </c>
      <c r="I79" s="13" t="s">
        <v>43</v>
      </c>
      <c r="J79" s="13"/>
      <c r="K79" s="13"/>
      <c r="L79" s="13"/>
      <c r="M79" s="13" t="s">
        <v>308</v>
      </c>
      <c r="N79" s="34" t="str">
        <f t="shared" si="0"/>
        <v>BKCジム第１アリーナ ２面</v>
      </c>
      <c r="R79" s="154"/>
      <c r="S79" s="156"/>
    </row>
    <row r="80" spans="1:19" x14ac:dyDescent="0.55000000000000004">
      <c r="A80" s="13" t="s">
        <v>80</v>
      </c>
      <c r="B80" s="13" t="s">
        <v>99</v>
      </c>
      <c r="C80" s="13" t="s">
        <v>69</v>
      </c>
      <c r="D80" s="13" t="s">
        <v>102</v>
      </c>
      <c r="E80" s="13" t="s">
        <v>103</v>
      </c>
      <c r="F80" s="13" t="s">
        <v>42</v>
      </c>
      <c r="G80" s="13">
        <v>0</v>
      </c>
      <c r="H80" s="13">
        <v>0</v>
      </c>
      <c r="I80" s="13" t="s">
        <v>43</v>
      </c>
      <c r="J80" s="13"/>
      <c r="K80" s="13"/>
      <c r="L80" s="13"/>
      <c r="M80" s="13" t="s">
        <v>308</v>
      </c>
      <c r="N80" s="34" t="str">
        <f t="shared" si="0"/>
        <v>BKCジム第１アリーナ ３面</v>
      </c>
      <c r="R80" s="154"/>
      <c r="S80" s="156"/>
    </row>
    <row r="81" spans="1:19" x14ac:dyDescent="0.55000000000000004">
      <c r="A81" s="13" t="s">
        <v>80</v>
      </c>
      <c r="B81" s="13" t="s">
        <v>99</v>
      </c>
      <c r="C81" s="13" t="s">
        <v>69</v>
      </c>
      <c r="D81" s="13" t="s">
        <v>104</v>
      </c>
      <c r="E81" s="13" t="s">
        <v>105</v>
      </c>
      <c r="F81" s="13" t="s">
        <v>42</v>
      </c>
      <c r="G81" s="13">
        <v>0</v>
      </c>
      <c r="H81" s="13">
        <v>0</v>
      </c>
      <c r="I81" s="13" t="s">
        <v>43</v>
      </c>
      <c r="J81" s="13"/>
      <c r="K81" s="13"/>
      <c r="L81" s="13"/>
      <c r="M81" s="13" t="s">
        <v>308</v>
      </c>
      <c r="N81" s="34" t="str">
        <f t="shared" si="0"/>
        <v>BKCジム第１アリーナ ４面</v>
      </c>
      <c r="R81" s="154"/>
      <c r="S81" s="156"/>
    </row>
    <row r="82" spans="1:19" x14ac:dyDescent="0.55000000000000004">
      <c r="A82" s="13" t="s">
        <v>80</v>
      </c>
      <c r="B82" s="13" t="s">
        <v>99</v>
      </c>
      <c r="C82" s="13" t="s">
        <v>40</v>
      </c>
      <c r="D82" s="13" t="s">
        <v>106</v>
      </c>
      <c r="E82" s="13" t="s">
        <v>107</v>
      </c>
      <c r="F82" s="13" t="s">
        <v>42</v>
      </c>
      <c r="G82" s="13">
        <v>0</v>
      </c>
      <c r="H82" s="13">
        <v>0</v>
      </c>
      <c r="I82" s="13" t="s">
        <v>43</v>
      </c>
      <c r="J82" s="13"/>
      <c r="K82" s="13"/>
      <c r="L82" s="13"/>
      <c r="M82" s="13" t="s">
        <v>308</v>
      </c>
      <c r="N82" s="34" t="str">
        <f t="shared" si="0"/>
        <v>BKCジム第２アリーナ １面</v>
      </c>
      <c r="R82" s="154"/>
      <c r="S82" s="156"/>
    </row>
    <row r="83" spans="1:19" x14ac:dyDescent="0.55000000000000004">
      <c r="A83" s="13" t="s">
        <v>80</v>
      </c>
      <c r="B83" s="13" t="s">
        <v>99</v>
      </c>
      <c r="C83" s="13" t="s">
        <v>40</v>
      </c>
      <c r="D83" s="13" t="s">
        <v>108</v>
      </c>
      <c r="E83" s="13" t="s">
        <v>109</v>
      </c>
      <c r="F83" s="13" t="s">
        <v>42</v>
      </c>
      <c r="G83" s="13">
        <v>0</v>
      </c>
      <c r="H83" s="13">
        <v>0</v>
      </c>
      <c r="I83" s="13" t="s">
        <v>43</v>
      </c>
      <c r="J83" s="13"/>
      <c r="K83" s="13"/>
      <c r="L83" s="13"/>
      <c r="M83" s="13" t="s">
        <v>308</v>
      </c>
      <c r="N83" s="34" t="str">
        <f t="shared" si="0"/>
        <v>BKCジム第２アリーナ ２面</v>
      </c>
      <c r="R83" s="154"/>
      <c r="S83" s="156"/>
    </row>
    <row r="84" spans="1:19" x14ac:dyDescent="0.55000000000000004">
      <c r="A84" s="13" t="s">
        <v>80</v>
      </c>
      <c r="B84" s="13" t="s">
        <v>99</v>
      </c>
      <c r="C84" s="13" t="s">
        <v>40</v>
      </c>
      <c r="D84" s="13" t="s">
        <v>110</v>
      </c>
      <c r="E84" s="13" t="s">
        <v>111</v>
      </c>
      <c r="F84" s="13" t="s">
        <v>42</v>
      </c>
      <c r="G84" s="13">
        <v>0</v>
      </c>
      <c r="H84" s="13">
        <v>0</v>
      </c>
      <c r="I84" s="13" t="s">
        <v>43</v>
      </c>
      <c r="J84" s="13"/>
      <c r="K84" s="13"/>
      <c r="L84" s="13"/>
      <c r="M84" s="13" t="s">
        <v>308</v>
      </c>
      <c r="N84" s="34" t="str">
        <f t="shared" si="0"/>
        <v>BKCジム第２アリーナ ３面</v>
      </c>
      <c r="R84" s="154"/>
      <c r="S84" s="156"/>
    </row>
    <row r="85" spans="1:19" x14ac:dyDescent="0.55000000000000004">
      <c r="A85" s="13" t="s">
        <v>80</v>
      </c>
      <c r="B85" s="13" t="s">
        <v>99</v>
      </c>
      <c r="C85" s="13" t="s">
        <v>40</v>
      </c>
      <c r="D85" s="13" t="s">
        <v>112</v>
      </c>
      <c r="E85" s="13" t="s">
        <v>113</v>
      </c>
      <c r="F85" s="13" t="s">
        <v>42</v>
      </c>
      <c r="G85" s="13">
        <v>0</v>
      </c>
      <c r="H85" s="13">
        <v>0</v>
      </c>
      <c r="I85" s="13" t="s">
        <v>43</v>
      </c>
      <c r="J85" s="13"/>
      <c r="K85" s="13"/>
      <c r="L85" s="13"/>
      <c r="M85" s="13" t="s">
        <v>308</v>
      </c>
      <c r="N85" s="34" t="str">
        <f t="shared" si="0"/>
        <v>BKCジム第２アリーナ ４面</v>
      </c>
      <c r="R85" s="154"/>
      <c r="S85" s="156"/>
    </row>
    <row r="86" spans="1:19" x14ac:dyDescent="0.55000000000000004">
      <c r="A86" s="13" t="s">
        <v>80</v>
      </c>
      <c r="B86" s="13" t="s">
        <v>99</v>
      </c>
      <c r="C86" s="13" t="s">
        <v>40</v>
      </c>
      <c r="D86" s="13" t="s">
        <v>114</v>
      </c>
      <c r="E86" s="13" t="s">
        <v>115</v>
      </c>
      <c r="F86" s="13" t="s">
        <v>42</v>
      </c>
      <c r="G86" s="13">
        <v>0</v>
      </c>
      <c r="H86" s="13">
        <v>0</v>
      </c>
      <c r="I86" s="13" t="s">
        <v>43</v>
      </c>
      <c r="J86" s="13"/>
      <c r="K86" s="13"/>
      <c r="L86" s="13"/>
      <c r="M86" s="13" t="s">
        <v>308</v>
      </c>
      <c r="N86" s="34" t="str">
        <f t="shared" si="0"/>
        <v>BKCジム第２アリーナ ５面</v>
      </c>
      <c r="R86" s="154"/>
      <c r="S86" s="156"/>
    </row>
    <row r="87" spans="1:19" x14ac:dyDescent="0.55000000000000004">
      <c r="A87" s="13" t="s">
        <v>80</v>
      </c>
      <c r="B87" s="13" t="s">
        <v>99</v>
      </c>
      <c r="C87" s="13" t="s">
        <v>40</v>
      </c>
      <c r="D87" s="13" t="s">
        <v>116</v>
      </c>
      <c r="E87" s="13" t="s">
        <v>117</v>
      </c>
      <c r="F87" s="13" t="s">
        <v>42</v>
      </c>
      <c r="G87" s="13">
        <v>0</v>
      </c>
      <c r="H87" s="13">
        <v>0</v>
      </c>
      <c r="I87" s="13" t="s">
        <v>43</v>
      </c>
      <c r="J87" s="13"/>
      <c r="K87" s="13"/>
      <c r="L87" s="13"/>
      <c r="M87" s="13" t="s">
        <v>308</v>
      </c>
      <c r="N87" s="34" t="str">
        <f t="shared" si="0"/>
        <v>BKCジム第２アリーナ ６面</v>
      </c>
      <c r="R87" s="154"/>
      <c r="S87" s="156"/>
    </row>
    <row r="88" spans="1:19" x14ac:dyDescent="0.55000000000000004">
      <c r="A88" s="13" t="s">
        <v>80</v>
      </c>
      <c r="B88" s="13" t="s">
        <v>118</v>
      </c>
      <c r="C88" s="13" t="s">
        <v>82</v>
      </c>
      <c r="D88" s="13" t="s">
        <v>119</v>
      </c>
      <c r="E88" s="13" t="s">
        <v>120</v>
      </c>
      <c r="F88" s="13" t="s">
        <v>42</v>
      </c>
      <c r="G88" s="13">
        <v>0</v>
      </c>
      <c r="H88" s="13">
        <v>0</v>
      </c>
      <c r="I88" s="13" t="s">
        <v>43</v>
      </c>
      <c r="J88" s="13"/>
      <c r="K88" s="13"/>
      <c r="L88" s="13"/>
      <c r="M88" s="13" t="s">
        <v>308</v>
      </c>
      <c r="N88" s="34" t="str">
        <f t="shared" si="0"/>
        <v>テニスコート第１コート</v>
      </c>
      <c r="R88" s="154"/>
      <c r="S88" s="156"/>
    </row>
    <row r="89" spans="1:19" x14ac:dyDescent="0.55000000000000004">
      <c r="A89" s="13" t="s">
        <v>80</v>
      </c>
      <c r="B89" s="13" t="s">
        <v>121</v>
      </c>
      <c r="C89" s="13" t="s">
        <v>82</v>
      </c>
      <c r="D89" s="13" t="s">
        <v>122</v>
      </c>
      <c r="E89" s="13" t="s">
        <v>123</v>
      </c>
      <c r="F89" s="13" t="s">
        <v>42</v>
      </c>
      <c r="G89" s="13">
        <v>0</v>
      </c>
      <c r="H89" s="13">
        <v>0</v>
      </c>
      <c r="I89" s="13" t="s">
        <v>43</v>
      </c>
      <c r="J89" s="13"/>
      <c r="K89" s="13"/>
      <c r="L89" s="13"/>
      <c r="M89" s="13" t="s">
        <v>308</v>
      </c>
      <c r="N89" s="34" t="str">
        <f t="shared" si="0"/>
        <v>テニスコート第２コート</v>
      </c>
      <c r="R89" s="154"/>
      <c r="S89" s="156"/>
    </row>
    <row r="90" spans="1:19" x14ac:dyDescent="0.55000000000000004">
      <c r="A90" s="13" t="s">
        <v>80</v>
      </c>
      <c r="B90" s="13" t="s">
        <v>121</v>
      </c>
      <c r="C90" s="13" t="s">
        <v>82</v>
      </c>
      <c r="D90" s="13" t="s">
        <v>124</v>
      </c>
      <c r="E90" s="13" t="s">
        <v>125</v>
      </c>
      <c r="F90" s="13" t="s">
        <v>42</v>
      </c>
      <c r="G90" s="13">
        <v>0</v>
      </c>
      <c r="H90" s="13">
        <v>0</v>
      </c>
      <c r="I90" s="13" t="s">
        <v>43</v>
      </c>
      <c r="J90" s="13"/>
      <c r="K90" s="13"/>
      <c r="L90" s="13"/>
      <c r="M90" s="13" t="s">
        <v>308</v>
      </c>
      <c r="N90" s="34" t="str">
        <f t="shared" si="0"/>
        <v>テニスコート第３コート</v>
      </c>
      <c r="R90" s="154"/>
      <c r="S90" s="156"/>
    </row>
    <row r="91" spans="1:19" x14ac:dyDescent="0.55000000000000004">
      <c r="A91" s="13" t="s">
        <v>80</v>
      </c>
      <c r="B91" s="13" t="s">
        <v>121</v>
      </c>
      <c r="C91" s="13" t="s">
        <v>82</v>
      </c>
      <c r="D91" s="13" t="s">
        <v>126</v>
      </c>
      <c r="E91" s="13" t="s">
        <v>127</v>
      </c>
      <c r="F91" s="13" t="s">
        <v>42</v>
      </c>
      <c r="G91" s="13">
        <v>0</v>
      </c>
      <c r="H91" s="13">
        <v>0</v>
      </c>
      <c r="I91" s="13" t="s">
        <v>43</v>
      </c>
      <c r="J91" s="13"/>
      <c r="K91" s="13"/>
      <c r="L91" s="13"/>
      <c r="M91" s="13" t="s">
        <v>308</v>
      </c>
      <c r="N91" s="34" t="str">
        <f t="shared" si="0"/>
        <v>テニスコート第４コート</v>
      </c>
      <c r="R91" s="154"/>
      <c r="S91" s="156"/>
    </row>
    <row r="92" spans="1:19" x14ac:dyDescent="0.55000000000000004">
      <c r="A92" s="13" t="s">
        <v>80</v>
      </c>
      <c r="B92" s="13" t="s">
        <v>121</v>
      </c>
      <c r="C92" s="13" t="s">
        <v>82</v>
      </c>
      <c r="D92" s="13" t="s">
        <v>128</v>
      </c>
      <c r="E92" s="13" t="s">
        <v>129</v>
      </c>
      <c r="F92" s="13" t="s">
        <v>42</v>
      </c>
      <c r="G92" s="13">
        <v>0</v>
      </c>
      <c r="H92" s="13">
        <v>0</v>
      </c>
      <c r="I92" s="13" t="s">
        <v>43</v>
      </c>
      <c r="J92" s="13"/>
      <c r="K92" s="13"/>
      <c r="L92" s="13"/>
      <c r="M92" s="13" t="s">
        <v>308</v>
      </c>
      <c r="N92" s="34" t="str">
        <f t="shared" si="0"/>
        <v>テニスコート第５コート</v>
      </c>
      <c r="R92" s="154"/>
      <c r="S92" s="156"/>
    </row>
    <row r="93" spans="1:19" x14ac:dyDescent="0.55000000000000004">
      <c r="A93" s="13" t="s">
        <v>80</v>
      </c>
      <c r="B93" s="13" t="s">
        <v>121</v>
      </c>
      <c r="C93" s="13" t="s">
        <v>82</v>
      </c>
      <c r="D93" s="13" t="s">
        <v>130</v>
      </c>
      <c r="E93" s="13" t="s">
        <v>131</v>
      </c>
      <c r="F93" s="13" t="s">
        <v>42</v>
      </c>
      <c r="G93" s="13">
        <v>0</v>
      </c>
      <c r="H93" s="13">
        <v>0</v>
      </c>
      <c r="I93" s="13" t="s">
        <v>43</v>
      </c>
      <c r="J93" s="13"/>
      <c r="K93" s="13"/>
      <c r="L93" s="13"/>
      <c r="M93" s="13" t="s">
        <v>308</v>
      </c>
      <c r="N93" s="34" t="str">
        <f t="shared" si="0"/>
        <v>テニスコート第６コート</v>
      </c>
      <c r="R93" s="154"/>
      <c r="S93" s="156"/>
    </row>
    <row r="94" spans="1:19" x14ac:dyDescent="0.55000000000000004">
      <c r="A94" s="13" t="s">
        <v>80</v>
      </c>
      <c r="B94" s="13" t="s">
        <v>121</v>
      </c>
      <c r="C94" s="13" t="s">
        <v>82</v>
      </c>
      <c r="D94" s="13" t="s">
        <v>132</v>
      </c>
      <c r="E94" s="13" t="s">
        <v>133</v>
      </c>
      <c r="F94" s="13" t="s">
        <v>42</v>
      </c>
      <c r="G94" s="13">
        <v>0</v>
      </c>
      <c r="H94" s="13">
        <v>0</v>
      </c>
      <c r="I94" s="13" t="s">
        <v>43</v>
      </c>
      <c r="J94" s="13"/>
      <c r="K94" s="13"/>
      <c r="L94" s="13"/>
      <c r="M94" s="13" t="s">
        <v>308</v>
      </c>
      <c r="N94" s="34" t="str">
        <f t="shared" si="0"/>
        <v>テニスコート第７コート</v>
      </c>
      <c r="R94" s="154"/>
      <c r="S94" s="156"/>
    </row>
    <row r="95" spans="1:19" x14ac:dyDescent="0.55000000000000004">
      <c r="A95" s="13" t="s">
        <v>80</v>
      </c>
      <c r="B95" s="13" t="s">
        <v>121</v>
      </c>
      <c r="C95" s="13" t="s">
        <v>82</v>
      </c>
      <c r="D95" s="13" t="s">
        <v>134</v>
      </c>
      <c r="E95" s="13" t="s">
        <v>135</v>
      </c>
      <c r="F95" s="13" t="s">
        <v>42</v>
      </c>
      <c r="G95" s="13">
        <v>0</v>
      </c>
      <c r="H95" s="13">
        <v>0</v>
      </c>
      <c r="I95" s="13" t="s">
        <v>43</v>
      </c>
      <c r="J95" s="13"/>
      <c r="K95" s="13"/>
      <c r="L95" s="13"/>
      <c r="M95" s="13" t="s">
        <v>308</v>
      </c>
      <c r="N95" s="34" t="str">
        <f t="shared" si="0"/>
        <v>テニスコート第８コート</v>
      </c>
      <c r="R95" s="154"/>
      <c r="S95" s="156"/>
    </row>
    <row r="96" spans="1:19" x14ac:dyDescent="0.55000000000000004">
      <c r="A96" s="14" t="s">
        <v>136</v>
      </c>
      <c r="B96" s="14" t="s">
        <v>137</v>
      </c>
      <c r="C96" s="14" t="s">
        <v>40</v>
      </c>
      <c r="D96" s="14" t="s">
        <v>138</v>
      </c>
      <c r="E96" s="14" t="s">
        <v>139</v>
      </c>
      <c r="F96" s="14" t="s">
        <v>42</v>
      </c>
      <c r="G96" s="14">
        <v>0</v>
      </c>
      <c r="H96" s="14">
        <v>0</v>
      </c>
      <c r="I96" s="14" t="s">
        <v>43</v>
      </c>
      <c r="J96" s="14"/>
      <c r="K96" s="14"/>
      <c r="L96" s="14"/>
      <c r="M96" s="14" t="s">
        <v>309</v>
      </c>
      <c r="N96" s="34" t="str">
        <f t="shared" si="0"/>
        <v>Ｄ棟OICアリーナ１</v>
      </c>
      <c r="R96" s="154"/>
      <c r="S96" s="156"/>
    </row>
    <row r="97" spans="1:19" x14ac:dyDescent="0.55000000000000004">
      <c r="A97" s="14" t="s">
        <v>136</v>
      </c>
      <c r="B97" s="14" t="s">
        <v>140</v>
      </c>
      <c r="C97" s="14" t="s">
        <v>40</v>
      </c>
      <c r="D97" s="14" t="s">
        <v>141</v>
      </c>
      <c r="E97" s="14" t="s">
        <v>142</v>
      </c>
      <c r="F97" s="14" t="s">
        <v>42</v>
      </c>
      <c r="G97" s="14">
        <v>0</v>
      </c>
      <c r="H97" s="14">
        <v>0</v>
      </c>
      <c r="I97" s="14" t="s">
        <v>43</v>
      </c>
      <c r="J97" s="14"/>
      <c r="K97" s="14"/>
      <c r="L97" s="14"/>
      <c r="M97" s="14" t="s">
        <v>309</v>
      </c>
      <c r="N97" s="34" t="str">
        <f t="shared" si="0"/>
        <v>Ｄ棟OICアリーナ２</v>
      </c>
      <c r="R97" s="154"/>
      <c r="S97" s="156"/>
    </row>
    <row r="98" spans="1:19" x14ac:dyDescent="0.55000000000000004">
      <c r="A98" s="14" t="s">
        <v>136</v>
      </c>
      <c r="B98" s="14" t="s">
        <v>140</v>
      </c>
      <c r="C98" s="14" t="s">
        <v>40</v>
      </c>
      <c r="D98" s="14" t="s">
        <v>143</v>
      </c>
      <c r="E98" s="14" t="s">
        <v>144</v>
      </c>
      <c r="F98" s="14" t="s">
        <v>42</v>
      </c>
      <c r="G98" s="14">
        <v>0</v>
      </c>
      <c r="H98" s="14">
        <v>0</v>
      </c>
      <c r="I98" s="14" t="s">
        <v>43</v>
      </c>
      <c r="J98" s="14"/>
      <c r="K98" s="14"/>
      <c r="L98" s="14"/>
      <c r="M98" s="14" t="s">
        <v>309</v>
      </c>
      <c r="N98" s="34" t="str">
        <f t="shared" si="0"/>
        <v>Ｄ棟OICアリーナ３</v>
      </c>
      <c r="R98" s="154"/>
      <c r="S98" s="156"/>
    </row>
    <row r="99" spans="1:19" x14ac:dyDescent="0.55000000000000004">
      <c r="A99" s="14" t="s">
        <v>136</v>
      </c>
      <c r="B99" s="14" t="s">
        <v>140</v>
      </c>
      <c r="C99" s="14" t="s">
        <v>40</v>
      </c>
      <c r="D99" s="14" t="s">
        <v>145</v>
      </c>
      <c r="E99" s="14" t="s">
        <v>146</v>
      </c>
      <c r="F99" s="14" t="s">
        <v>42</v>
      </c>
      <c r="G99" s="14">
        <v>0</v>
      </c>
      <c r="H99" s="14">
        <v>0</v>
      </c>
      <c r="I99" s="14" t="s">
        <v>43</v>
      </c>
      <c r="J99" s="14"/>
      <c r="K99" s="14"/>
      <c r="L99" s="14"/>
      <c r="M99" s="14" t="s">
        <v>309</v>
      </c>
      <c r="N99" s="34" t="str">
        <f t="shared" si="0"/>
        <v>Ｄ棟OICアリーナ４</v>
      </c>
      <c r="R99" s="155"/>
      <c r="S99" s="156"/>
    </row>
    <row r="100" spans="1:19" x14ac:dyDescent="0.55000000000000004">
      <c r="S100" s="72"/>
    </row>
    <row r="101" spans="1:19" x14ac:dyDescent="0.55000000000000004">
      <c r="N101" s="34" t="s">
        <v>154</v>
      </c>
    </row>
    <row r="102" spans="1:19" x14ac:dyDescent="0.55000000000000004">
      <c r="N102" s="68" t="s">
        <v>399</v>
      </c>
      <c r="Q102" s="69" t="s">
        <v>434</v>
      </c>
      <c r="R102" s="70"/>
    </row>
    <row r="103" spans="1:19" x14ac:dyDescent="0.55000000000000004">
      <c r="M103" s="34" t="s">
        <v>305</v>
      </c>
      <c r="N103" s="31" t="s">
        <v>279</v>
      </c>
      <c r="R103" s="153" t="s">
        <v>422</v>
      </c>
    </row>
    <row r="104" spans="1:19" x14ac:dyDescent="0.55000000000000004">
      <c r="M104" s="34" t="s">
        <v>305</v>
      </c>
      <c r="N104" s="31" t="s">
        <v>280</v>
      </c>
      <c r="R104" s="154"/>
    </row>
    <row r="105" spans="1:19" x14ac:dyDescent="0.55000000000000004">
      <c r="M105" s="34" t="s">
        <v>305</v>
      </c>
      <c r="N105" s="31" t="s">
        <v>460</v>
      </c>
      <c r="R105" s="154"/>
    </row>
    <row r="106" spans="1:19" x14ac:dyDescent="0.55000000000000004">
      <c r="M106" s="34" t="s">
        <v>305</v>
      </c>
      <c r="N106" s="31" t="s">
        <v>459</v>
      </c>
      <c r="R106" s="154"/>
    </row>
    <row r="107" spans="1:19" x14ac:dyDescent="0.55000000000000004">
      <c r="M107" s="34" t="s">
        <v>305</v>
      </c>
      <c r="N107" s="31" t="s">
        <v>430</v>
      </c>
      <c r="R107" s="154"/>
    </row>
    <row r="108" spans="1:19" x14ac:dyDescent="0.55000000000000004">
      <c r="M108" s="34" t="s">
        <v>305</v>
      </c>
      <c r="N108" s="31" t="s">
        <v>431</v>
      </c>
      <c r="R108" s="154"/>
    </row>
    <row r="109" spans="1:19" x14ac:dyDescent="0.55000000000000004">
      <c r="M109" s="34" t="s">
        <v>305</v>
      </c>
      <c r="N109" s="31" t="s">
        <v>283</v>
      </c>
      <c r="R109" s="154"/>
    </row>
    <row r="110" spans="1:19" x14ac:dyDescent="0.55000000000000004">
      <c r="M110" s="34" t="s">
        <v>305</v>
      </c>
      <c r="N110" s="31" t="s">
        <v>284</v>
      </c>
      <c r="R110" s="154"/>
    </row>
    <row r="111" spans="1:19" x14ac:dyDescent="0.55000000000000004">
      <c r="M111" s="34" t="s">
        <v>308</v>
      </c>
      <c r="N111" s="13" t="s">
        <v>147</v>
      </c>
      <c r="R111" s="154"/>
    </row>
    <row r="112" spans="1:19" x14ac:dyDescent="0.55000000000000004">
      <c r="M112" s="34" t="s">
        <v>308</v>
      </c>
      <c r="N112" s="13" t="s">
        <v>287</v>
      </c>
      <c r="R112" s="154"/>
    </row>
    <row r="113" spans="13:18" x14ac:dyDescent="0.55000000000000004">
      <c r="M113" s="34" t="s">
        <v>308</v>
      </c>
      <c r="N113" s="13" t="s">
        <v>288</v>
      </c>
      <c r="R113" s="154"/>
    </row>
    <row r="114" spans="13:18" x14ac:dyDescent="0.55000000000000004">
      <c r="M114" s="34" t="s">
        <v>308</v>
      </c>
      <c r="N114" s="13" t="s">
        <v>289</v>
      </c>
      <c r="R114" s="154"/>
    </row>
    <row r="115" spans="13:18" x14ac:dyDescent="0.55000000000000004">
      <c r="M115" s="34" t="s">
        <v>308</v>
      </c>
      <c r="N115" s="13" t="s">
        <v>290</v>
      </c>
      <c r="R115" s="154"/>
    </row>
    <row r="116" spans="13:18" x14ac:dyDescent="0.55000000000000004">
      <c r="M116" s="34" t="s">
        <v>308</v>
      </c>
      <c r="N116" s="13" t="s">
        <v>148</v>
      </c>
      <c r="R116" s="154"/>
    </row>
    <row r="117" spans="13:18" x14ac:dyDescent="0.55000000000000004">
      <c r="M117" s="34" t="s">
        <v>308</v>
      </c>
      <c r="N117" s="13" t="s">
        <v>291</v>
      </c>
      <c r="R117" s="154"/>
    </row>
    <row r="118" spans="13:18" x14ac:dyDescent="0.55000000000000004">
      <c r="M118" s="34" t="s">
        <v>308</v>
      </c>
      <c r="N118" s="13" t="s">
        <v>292</v>
      </c>
      <c r="R118" s="154"/>
    </row>
    <row r="119" spans="13:18" x14ac:dyDescent="0.55000000000000004">
      <c r="M119" s="34" t="s">
        <v>308</v>
      </c>
      <c r="N119" s="13" t="s">
        <v>293</v>
      </c>
      <c r="R119" s="154"/>
    </row>
    <row r="120" spans="13:18" x14ac:dyDescent="0.55000000000000004">
      <c r="M120" s="34" t="s">
        <v>308</v>
      </c>
      <c r="N120" s="13" t="s">
        <v>294</v>
      </c>
      <c r="R120" s="154"/>
    </row>
    <row r="121" spans="13:18" x14ac:dyDescent="0.55000000000000004">
      <c r="M121" s="34" t="s">
        <v>308</v>
      </c>
      <c r="N121" s="13" t="s">
        <v>149</v>
      </c>
      <c r="R121" s="154"/>
    </row>
    <row r="122" spans="13:18" x14ac:dyDescent="0.55000000000000004">
      <c r="M122" s="34" t="s">
        <v>308</v>
      </c>
      <c r="N122" s="13" t="s">
        <v>150</v>
      </c>
      <c r="R122" s="154"/>
    </row>
    <row r="123" spans="13:18" x14ac:dyDescent="0.55000000000000004">
      <c r="M123" s="34" t="s">
        <v>308</v>
      </c>
      <c r="N123" s="13" t="s">
        <v>151</v>
      </c>
      <c r="R123" s="154"/>
    </row>
    <row r="124" spans="13:18" x14ac:dyDescent="0.55000000000000004">
      <c r="M124" s="34" t="s">
        <v>308</v>
      </c>
      <c r="N124" s="13" t="s">
        <v>152</v>
      </c>
      <c r="R124" s="154"/>
    </row>
    <row r="125" spans="13:18" x14ac:dyDescent="0.55000000000000004">
      <c r="M125" s="34" t="s">
        <v>308</v>
      </c>
      <c r="N125" s="13" t="s">
        <v>153</v>
      </c>
      <c r="R125" s="154"/>
    </row>
    <row r="126" spans="13:18" x14ac:dyDescent="0.55000000000000004">
      <c r="M126" s="34" t="s">
        <v>308</v>
      </c>
      <c r="N126" s="13" t="s">
        <v>295</v>
      </c>
      <c r="R126" s="154"/>
    </row>
    <row r="127" spans="13:18" x14ac:dyDescent="0.55000000000000004">
      <c r="M127" s="34" t="s">
        <v>308</v>
      </c>
      <c r="N127" s="13" t="s">
        <v>296</v>
      </c>
      <c r="R127" s="154"/>
    </row>
    <row r="128" spans="13:18" x14ac:dyDescent="0.55000000000000004">
      <c r="M128" s="34" t="s">
        <v>308</v>
      </c>
      <c r="N128" s="13" t="s">
        <v>297</v>
      </c>
      <c r="R128" s="154"/>
    </row>
    <row r="129" spans="13:19" x14ac:dyDescent="0.55000000000000004">
      <c r="M129" s="34" t="s">
        <v>308</v>
      </c>
      <c r="N129" s="13" t="s">
        <v>298</v>
      </c>
      <c r="R129" s="154"/>
    </row>
    <row r="130" spans="13:19" x14ac:dyDescent="0.55000000000000004">
      <c r="M130" s="34" t="s">
        <v>308</v>
      </c>
      <c r="N130" s="13" t="s">
        <v>299</v>
      </c>
      <c r="R130" s="154"/>
    </row>
    <row r="131" spans="13:19" x14ac:dyDescent="0.55000000000000004">
      <c r="M131" s="34" t="s">
        <v>308</v>
      </c>
      <c r="N131" s="13" t="s">
        <v>300</v>
      </c>
      <c r="R131" s="154"/>
    </row>
    <row r="132" spans="13:19" x14ac:dyDescent="0.55000000000000004">
      <c r="M132" s="34" t="s">
        <v>308</v>
      </c>
      <c r="N132" s="13" t="s">
        <v>301</v>
      </c>
      <c r="R132" s="154"/>
    </row>
    <row r="133" spans="13:19" x14ac:dyDescent="0.55000000000000004">
      <c r="M133" s="34" t="s">
        <v>308</v>
      </c>
      <c r="N133" s="13" t="s">
        <v>302</v>
      </c>
      <c r="R133" s="154"/>
    </row>
    <row r="134" spans="13:19" x14ac:dyDescent="0.55000000000000004">
      <c r="M134" s="34" t="s">
        <v>306</v>
      </c>
      <c r="N134" s="31" t="s">
        <v>462</v>
      </c>
      <c r="R134" s="154"/>
    </row>
    <row r="135" spans="13:19" x14ac:dyDescent="0.55000000000000004">
      <c r="M135" s="34" t="s">
        <v>309</v>
      </c>
      <c r="N135" s="14" t="s">
        <v>285</v>
      </c>
      <c r="R135" s="154"/>
    </row>
    <row r="136" spans="13:19" x14ac:dyDescent="0.55000000000000004">
      <c r="M136" s="34" t="s">
        <v>309</v>
      </c>
      <c r="N136" s="14" t="s">
        <v>303</v>
      </c>
      <c r="R136" s="154"/>
    </row>
    <row r="137" spans="13:19" x14ac:dyDescent="0.55000000000000004">
      <c r="M137" s="34" t="s">
        <v>309</v>
      </c>
      <c r="N137" s="14" t="s">
        <v>463</v>
      </c>
      <c r="R137" s="154"/>
    </row>
    <row r="138" spans="13:19" x14ac:dyDescent="0.55000000000000004">
      <c r="M138" s="34" t="s">
        <v>309</v>
      </c>
      <c r="N138" s="14" t="s">
        <v>286</v>
      </c>
      <c r="R138" s="154"/>
    </row>
    <row r="139" spans="13:19" x14ac:dyDescent="0.55000000000000004">
      <c r="M139" s="34" t="s">
        <v>304</v>
      </c>
      <c r="N139" s="32" t="s">
        <v>478</v>
      </c>
      <c r="R139" s="154"/>
    </row>
    <row r="140" spans="13:19" x14ac:dyDescent="0.55000000000000004">
      <c r="M140" s="34" t="s">
        <v>304</v>
      </c>
      <c r="N140" s="31" t="s">
        <v>480</v>
      </c>
      <c r="R140" s="154"/>
    </row>
    <row r="141" spans="13:19" x14ac:dyDescent="0.55000000000000004">
      <c r="M141" s="34" t="s">
        <v>304</v>
      </c>
      <c r="N141" s="31" t="s">
        <v>481</v>
      </c>
      <c r="R141" s="154"/>
    </row>
    <row r="142" spans="13:19" x14ac:dyDescent="0.55000000000000004">
      <c r="M142" s="34" t="s">
        <v>304</v>
      </c>
      <c r="N142" s="31" t="s">
        <v>482</v>
      </c>
      <c r="R142" s="154"/>
    </row>
    <row r="143" spans="13:19" x14ac:dyDescent="0.55000000000000004">
      <c r="N143" s="34" t="s">
        <v>486</v>
      </c>
      <c r="R143" s="154"/>
    </row>
    <row r="144" spans="13:19" x14ac:dyDescent="0.55000000000000004">
      <c r="M144" s="34" t="s">
        <v>304</v>
      </c>
      <c r="N144" s="31" t="s">
        <v>483</v>
      </c>
      <c r="R144" s="154"/>
      <c r="S144" s="34" t="s">
        <v>454</v>
      </c>
    </row>
    <row r="145" spans="13:19" x14ac:dyDescent="0.55000000000000004">
      <c r="M145" s="34" t="s">
        <v>307</v>
      </c>
      <c r="N145" s="12" t="s">
        <v>487</v>
      </c>
      <c r="R145" s="154"/>
    </row>
    <row r="146" spans="13:19" x14ac:dyDescent="0.55000000000000004">
      <c r="M146" s="34" t="s">
        <v>307</v>
      </c>
      <c r="N146" s="12" t="s">
        <v>488</v>
      </c>
      <c r="R146" s="154"/>
      <c r="S146" s="34" t="s">
        <v>453</v>
      </c>
    </row>
    <row r="147" spans="13:19" x14ac:dyDescent="0.55000000000000004">
      <c r="M147" s="34" t="s">
        <v>307</v>
      </c>
      <c r="N147" s="12" t="s">
        <v>489</v>
      </c>
      <c r="R147" s="154"/>
    </row>
    <row r="148" spans="13:19" x14ac:dyDescent="0.55000000000000004">
      <c r="M148" s="34" t="s">
        <v>307</v>
      </c>
      <c r="N148" s="12" t="s">
        <v>490</v>
      </c>
      <c r="R148" s="154"/>
    </row>
    <row r="149" spans="13:19" x14ac:dyDescent="0.55000000000000004">
      <c r="M149" s="34" t="s">
        <v>307</v>
      </c>
      <c r="N149" s="12" t="s">
        <v>491</v>
      </c>
      <c r="R149" s="154"/>
    </row>
    <row r="150" spans="13:19" x14ac:dyDescent="0.55000000000000004">
      <c r="M150" s="34" t="s">
        <v>307</v>
      </c>
      <c r="N150" s="12" t="s">
        <v>492</v>
      </c>
      <c r="R150" s="154"/>
    </row>
    <row r="151" spans="13:19" x14ac:dyDescent="0.55000000000000004">
      <c r="M151" s="34" t="s">
        <v>307</v>
      </c>
      <c r="N151" s="12" t="s">
        <v>493</v>
      </c>
      <c r="R151" s="154"/>
    </row>
    <row r="152" spans="13:19" x14ac:dyDescent="0.55000000000000004">
      <c r="M152" s="34" t="s">
        <v>307</v>
      </c>
      <c r="N152" s="12" t="s">
        <v>494</v>
      </c>
      <c r="R152" s="154"/>
    </row>
    <row r="153" spans="13:19" x14ac:dyDescent="0.55000000000000004">
      <c r="M153" s="34" t="s">
        <v>307</v>
      </c>
      <c r="N153" s="12" t="s">
        <v>495</v>
      </c>
      <c r="R153" s="154"/>
    </row>
    <row r="154" spans="13:19" x14ac:dyDescent="0.55000000000000004">
      <c r="M154" s="34" t="s">
        <v>307</v>
      </c>
      <c r="N154" s="12" t="s">
        <v>496</v>
      </c>
      <c r="R154" s="154"/>
    </row>
    <row r="155" spans="13:19" x14ac:dyDescent="0.55000000000000004">
      <c r="M155" s="34" t="s">
        <v>307</v>
      </c>
      <c r="N155" s="12" t="s">
        <v>497</v>
      </c>
      <c r="R155" s="154"/>
    </row>
    <row r="156" spans="13:19" x14ac:dyDescent="0.55000000000000004">
      <c r="M156" s="34" t="s">
        <v>307</v>
      </c>
      <c r="N156" s="12" t="s">
        <v>498</v>
      </c>
      <c r="R156" s="154"/>
    </row>
    <row r="157" spans="13:19" x14ac:dyDescent="0.55000000000000004">
      <c r="M157" s="34" t="s">
        <v>307</v>
      </c>
      <c r="N157" s="12" t="s">
        <v>499</v>
      </c>
      <c r="R157" s="154"/>
    </row>
    <row r="158" spans="13:19" x14ac:dyDescent="0.55000000000000004">
      <c r="M158" s="34" t="s">
        <v>307</v>
      </c>
      <c r="N158" s="12" t="s">
        <v>500</v>
      </c>
      <c r="R158" s="154"/>
    </row>
    <row r="159" spans="13:19" x14ac:dyDescent="0.55000000000000004">
      <c r="M159" s="34" t="s">
        <v>307</v>
      </c>
      <c r="N159" s="12" t="s">
        <v>501</v>
      </c>
      <c r="R159" s="154"/>
    </row>
    <row r="160" spans="13:19" x14ac:dyDescent="0.55000000000000004">
      <c r="M160" s="34" t="s">
        <v>307</v>
      </c>
      <c r="N160" s="12" t="s">
        <v>502</v>
      </c>
      <c r="R160" s="154"/>
    </row>
    <row r="161" spans="13:18" x14ac:dyDescent="0.55000000000000004">
      <c r="M161" s="34" t="s">
        <v>307</v>
      </c>
      <c r="N161" s="12" t="s">
        <v>503</v>
      </c>
      <c r="R161" s="154"/>
    </row>
    <row r="162" spans="13:18" x14ac:dyDescent="0.55000000000000004">
      <c r="M162" s="34" t="s">
        <v>307</v>
      </c>
      <c r="N162" s="12" t="s">
        <v>504</v>
      </c>
      <c r="R162" s="155"/>
    </row>
  </sheetData>
  <sortState xmlns:xlrd2="http://schemas.microsoft.com/office/spreadsheetml/2017/richdata2" ref="L103:N162">
    <sortCondition ref="L103:L162"/>
  </sortState>
  <mergeCells count="4">
    <mergeCell ref="R2:R48"/>
    <mergeCell ref="R55:R99"/>
    <mergeCell ref="R103:R162"/>
    <mergeCell ref="S55:S99"/>
  </mergeCells>
  <phoneticPr fontId="1"/>
  <dataValidations count="3">
    <dataValidation type="list" allowBlank="1" showInputMessage="1" showErrorMessage="1" sqref="F101:F102" xr:uid="{A32FD7C5-BDC8-4982-88F3-7604821C5F96}">
      <formula1>衣笠</formula1>
    </dataValidation>
    <dataValidation type="custom" allowBlank="1" showInputMessage="1" showErrorMessage="1" sqref="E104" xr:uid="{DAD3592E-8A6A-4465-BCFB-E1A3377E20EF}">
      <formula1>$N$103:$N$107&amp;$N$119:$N$134</formula1>
    </dataValidation>
    <dataValidation type="list" allowBlank="1" showInputMessage="1" showErrorMessage="1" sqref="E101:E102" xr:uid="{A9A0332C-6E11-4E8E-9AAC-339D7984DE6D}">
      <formula1>$N$139:$N$162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6</vt:i4>
      </vt:variant>
    </vt:vector>
  </HeadingPairs>
  <TitlesOfParts>
    <vt:vector size="11" baseType="lpstr">
      <vt:lpstr>使い方</vt:lpstr>
      <vt:lpstr>提出方法</vt:lpstr>
      <vt:lpstr>月間スケジュール</vt:lpstr>
      <vt:lpstr>月間スケジュールCSV</vt:lpstr>
      <vt:lpstr>施設情報</vt:lpstr>
      <vt:lpstr>BKC</vt:lpstr>
      <vt:lpstr>OIC</vt:lpstr>
      <vt:lpstr>月間スケジュール!Print_Area</vt:lpstr>
      <vt:lpstr>使い方!Print_Area</vt:lpstr>
      <vt:lpstr>提出方法!Print_Area</vt:lpstr>
      <vt:lpstr>衣笠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うえのまちこ</dc:creator>
  <cp:lastModifiedBy>土田　拳士</cp:lastModifiedBy>
  <cp:lastPrinted>2021-09-27T01:54:26Z</cp:lastPrinted>
  <dcterms:created xsi:type="dcterms:W3CDTF">2021-05-02T01:59:36Z</dcterms:created>
  <dcterms:modified xsi:type="dcterms:W3CDTF">2021-10-01T08:16:36Z</dcterms:modified>
</cp:coreProperties>
</file>